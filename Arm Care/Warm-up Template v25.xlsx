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andonbrice/Downloads/"/>
    </mc:Choice>
  </mc:AlternateContent>
  <xr:revisionPtr revIDLastSave="0" documentId="13_ncr:1_{AFAEECC0-1CD3-3148-A69C-B059578D9876}" xr6:coauthVersionLast="47" xr6:coauthVersionMax="47" xr10:uidLastSave="{00000000-0000-0000-0000-000000000000}"/>
  <bookViews>
    <workbookView xWindow="0" yWindow="760" windowWidth="34200" windowHeight="21380" tabRatio="808" activeTab="9" xr2:uid="{00000000-000D-0000-FFFF-FFFF00000000}"/>
  </bookViews>
  <sheets>
    <sheet name="TTS" sheetId="13" r:id="rId1"/>
    <sheet name="Inputs" sheetId="3" r:id="rId2"/>
    <sheet name="Warmup" sheetId="2" r:id="rId3"/>
    <sheet name="Sum" sheetId="9" r:id="rId4"/>
    <sheet name="Subtotals" sheetId="10" r:id="rId5"/>
    <sheet name="Growth" sheetId="8" r:id="rId6"/>
    <sheet name="Relation" sheetId="6" r:id="rId7"/>
    <sheet name="Ratios" sheetId="5" r:id="rId8"/>
    <sheet name="Absolute" sheetId="4" r:id="rId9"/>
    <sheet name="Extras" sheetId="11" r:id="rId10"/>
  </sheets>
  <definedNames>
    <definedName name="TTS" comment="Updated: 5/6/2020">TTS!$A$1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9" l="1"/>
  <c r="E65" i="9"/>
  <c r="C71" i="9"/>
  <c r="D71" i="9"/>
  <c r="E70" i="9"/>
  <c r="E69" i="9"/>
  <c r="E68" i="9"/>
  <c r="E67" i="9"/>
  <c r="E66" i="9"/>
  <c r="C61" i="9"/>
  <c r="C60" i="9"/>
  <c r="C56" i="9"/>
  <c r="C53" i="9"/>
  <c r="C42" i="9"/>
  <c r="C33" i="9"/>
  <c r="C22" i="9"/>
  <c r="C13" i="9"/>
  <c r="B44" i="13"/>
  <c r="C16" i="5"/>
  <c r="F24" i="2"/>
  <c r="E24" i="2"/>
  <c r="D24" i="2"/>
  <c r="C24" i="2"/>
  <c r="G23" i="2"/>
  <c r="G22" i="2"/>
  <c r="G21" i="2"/>
  <c r="G20" i="2"/>
  <c r="G24" i="2"/>
  <c r="F17" i="2"/>
  <c r="E17" i="2"/>
  <c r="D17" i="2"/>
  <c r="C17" i="2"/>
  <c r="G16" i="2"/>
  <c r="G15" i="2"/>
  <c r="G14" i="2"/>
  <c r="G13" i="2"/>
  <c r="G17" i="2" s="1"/>
  <c r="F10" i="2"/>
  <c r="E10" i="2"/>
  <c r="D10" i="2"/>
  <c r="C10" i="2"/>
  <c r="G9" i="2"/>
  <c r="G8" i="2"/>
  <c r="G7" i="2"/>
  <c r="G6" i="2"/>
  <c r="G10" i="2" s="1"/>
</calcChain>
</file>

<file path=xl/sharedStrings.xml><?xml version="1.0" encoding="utf-8"?>
<sst xmlns="http://schemas.openxmlformats.org/spreadsheetml/2006/main" count="536" uniqueCount="321">
  <si>
    <t>Hist.</t>
  </si>
  <si>
    <t>Proj.</t>
  </si>
  <si>
    <t>Section 1</t>
  </si>
  <si>
    <t xml:space="preserve">Qtr 1  </t>
  </si>
  <si>
    <t xml:space="preserve">Qtr 2  </t>
  </si>
  <si>
    <t xml:space="preserve">Qtr 3 </t>
  </si>
  <si>
    <t xml:space="preserve">Qtr 4  </t>
  </si>
  <si>
    <t xml:space="preserve">Total  </t>
  </si>
  <si>
    <t>Revenues</t>
  </si>
  <si>
    <t>US</t>
  </si>
  <si>
    <t>Europe</t>
  </si>
  <si>
    <t>Asia</t>
  </si>
  <si>
    <t>Other</t>
  </si>
  <si>
    <t>Total</t>
  </si>
  <si>
    <t>Section 2</t>
  </si>
  <si>
    <t>Manufacturing costs</t>
  </si>
  <si>
    <t>Section 3</t>
  </si>
  <si>
    <t>SG&amp;A (selling, general &amp; admin costs)</t>
  </si>
  <si>
    <t>Database</t>
  </si>
  <si>
    <t>EMPLOYEE NAME</t>
  </si>
  <si>
    <t>CODE</t>
  </si>
  <si>
    <t>Qtr 1</t>
  </si>
  <si>
    <t>Qtr 2</t>
  </si>
  <si>
    <t>Qtr 3</t>
  </si>
  <si>
    <t>Qtr 4</t>
  </si>
  <si>
    <t>Eaglen, J</t>
  </si>
  <si>
    <t>KC-4</t>
  </si>
  <si>
    <t>Clark, G</t>
  </si>
  <si>
    <t>RS-7</t>
  </si>
  <si>
    <t>Fleming, R</t>
  </si>
  <si>
    <t>KC-2</t>
  </si>
  <si>
    <t>Graham, S</t>
  </si>
  <si>
    <t>RS-9</t>
  </si>
  <si>
    <t>Anderssen, S</t>
  </si>
  <si>
    <t>Swenson, R</t>
  </si>
  <si>
    <t>KC-6</t>
  </si>
  <si>
    <t>Ludwig, C</t>
  </si>
  <si>
    <t>Schwarzkopf, E</t>
  </si>
  <si>
    <t>RS-6</t>
  </si>
  <si>
    <t>Sutherland, J</t>
  </si>
  <si>
    <t>RS-10</t>
  </si>
  <si>
    <t>Rogers, G</t>
  </si>
  <si>
    <t>KC-3</t>
  </si>
  <si>
    <t>Marthenio, G</t>
  </si>
  <si>
    <t>Foglia, T</t>
  </si>
  <si>
    <t>Lundy, H</t>
  </si>
  <si>
    <t>Rodriguez, G</t>
  </si>
  <si>
    <t>IR-5</t>
  </si>
  <si>
    <t>De Stefano, C</t>
  </si>
  <si>
    <t>Merritt, H</t>
  </si>
  <si>
    <t>DE-5</t>
  </si>
  <si>
    <t>Arisete, H</t>
  </si>
  <si>
    <t>Di Cincenzo, J</t>
  </si>
  <si>
    <t>DE-2</t>
  </si>
  <si>
    <t>Davis, N</t>
  </si>
  <si>
    <t>Nanuet, B</t>
  </si>
  <si>
    <t>Harris, G</t>
  </si>
  <si>
    <t>IR-1</t>
  </si>
  <si>
    <t>Bellfrey, B</t>
  </si>
  <si>
    <t>Amos, T</t>
  </si>
  <si>
    <t>Culton, C</t>
  </si>
  <si>
    <t>Asher, L</t>
  </si>
  <si>
    <t>Wilson, P</t>
  </si>
  <si>
    <t>Clore, T</t>
  </si>
  <si>
    <t>RS-14</t>
  </si>
  <si>
    <t>Garza, F</t>
  </si>
  <si>
    <t>Braun, W</t>
  </si>
  <si>
    <t>Torffield, M</t>
  </si>
  <si>
    <t>Geyer, D</t>
  </si>
  <si>
    <t>McMurtree, C</t>
  </si>
  <si>
    <t>Al-Jabeer, A</t>
  </si>
  <si>
    <t>Steinman, Z</t>
  </si>
  <si>
    <t>Harzen, F</t>
  </si>
  <si>
    <t>IR-7</t>
  </si>
  <si>
    <t>Wakker, L</t>
  </si>
  <si>
    <t>Andriessen, K</t>
  </si>
  <si>
    <t>Nadelman, R</t>
  </si>
  <si>
    <t>RS-8</t>
  </si>
  <si>
    <t>Herr, E</t>
  </si>
  <si>
    <t>Lee, W</t>
  </si>
  <si>
    <t>Wong, C</t>
  </si>
  <si>
    <t>Nakurski, P</t>
  </si>
  <si>
    <t>Gerraro, G</t>
  </si>
  <si>
    <t>Jarrad, F</t>
  </si>
  <si>
    <t>Kinston, D</t>
  </si>
  <si>
    <t>Yip, S</t>
  </si>
  <si>
    <t>Marsau, C</t>
  </si>
  <si>
    <t>Richardson, D</t>
  </si>
  <si>
    <t>Marsoni, F</t>
  </si>
  <si>
    <t>Mantell, G</t>
  </si>
  <si>
    <t>Germaine, Y</t>
  </si>
  <si>
    <t>Mather, K</t>
  </si>
  <si>
    <t>KC-1</t>
  </si>
  <si>
    <t>Verino, I</t>
  </si>
  <si>
    <t>KC-5</t>
  </si>
  <si>
    <t>Forgione, O</t>
  </si>
  <si>
    <t>Waters, G</t>
  </si>
  <si>
    <t>Batone, T</t>
  </si>
  <si>
    <t>Chan, I</t>
  </si>
  <si>
    <t>Wohetski, K</t>
  </si>
  <si>
    <t>Hiller, E</t>
  </si>
  <si>
    <t>CRIMPON</t>
  </si>
  <si>
    <t>Summary results</t>
  </si>
  <si>
    <t>Year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</si>
  <si>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</si>
  <si>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</si>
  <si>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</si>
  <si>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</si>
  <si>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</si>
  <si>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</si>
  <si>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</si>
  <si>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</si>
  <si>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</si>
  <si>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</si>
  <si>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Size</t>
  </si>
  <si>
    <t>Sales</t>
  </si>
  <si>
    <t>Sales growth</t>
  </si>
  <si>
    <t>Cash flow from operations</t>
  </si>
  <si>
    <t>Net income</t>
  </si>
  <si>
    <t>Profitability</t>
  </si>
  <si>
    <t>Gross profit</t>
  </si>
  <si>
    <t>Operating profit</t>
  </si>
  <si>
    <t>Operating margin</t>
  </si>
  <si>
    <t>Net margin</t>
  </si>
  <si>
    <t>Return on assets</t>
  </si>
  <si>
    <t xml:space="preserve">NA </t>
  </si>
  <si>
    <t>EPS</t>
  </si>
  <si>
    <t>Leverage &amp; Coverage</t>
  </si>
  <si>
    <t>Total debt to net worth</t>
  </si>
  <si>
    <t>EBIT</t>
  </si>
  <si>
    <t>EBIT / Interest</t>
  </si>
  <si>
    <t>Asset management</t>
  </si>
  <si>
    <t>Capital expenditures</t>
  </si>
  <si>
    <t>OWC to sales</t>
  </si>
  <si>
    <t>Modeling Training</t>
  </si>
  <si>
    <t>Warm up</t>
  </si>
  <si>
    <t>Sum</t>
  </si>
  <si>
    <t>SUM function totals</t>
  </si>
  <si>
    <t>1.</t>
  </si>
  <si>
    <t>Lab budget</t>
  </si>
  <si>
    <t>Equipment</t>
  </si>
  <si>
    <t>Energy</t>
  </si>
  <si>
    <t>Consumables</t>
  </si>
  <si>
    <t>Raw materials</t>
  </si>
  <si>
    <t>Testing service</t>
  </si>
  <si>
    <t>Hazardous waste disposal service</t>
  </si>
  <si>
    <t/>
  </si>
  <si>
    <t>2.</t>
  </si>
  <si>
    <t>Division budget</t>
  </si>
  <si>
    <t>Sales and sales support costs</t>
  </si>
  <si>
    <t>Administrative costs</t>
  </si>
  <si>
    <t>Corporate overhead</t>
  </si>
  <si>
    <t>Miscellaneous</t>
  </si>
  <si>
    <t>3.</t>
  </si>
  <si>
    <t>Budget subtotals</t>
  </si>
  <si>
    <t>SG&amp;A</t>
  </si>
  <si>
    <t>Sales salaries</t>
  </si>
  <si>
    <t>Sales salary benefits</t>
  </si>
  <si>
    <t>Research</t>
  </si>
  <si>
    <t>Advertising</t>
  </si>
  <si>
    <t>Other marketing costs</t>
  </si>
  <si>
    <t>Travel</t>
  </si>
  <si>
    <t>Air travel</t>
  </si>
  <si>
    <t>Car rental costs</t>
  </si>
  <si>
    <t>Hotels and lodging</t>
  </si>
  <si>
    <t>Food</t>
  </si>
  <si>
    <t>Entertainment</t>
  </si>
  <si>
    <t>SUM function behavior</t>
  </si>
  <si>
    <t>4.</t>
  </si>
  <si>
    <t>More about subtotals</t>
  </si>
  <si>
    <t>Cash flow statement</t>
  </si>
  <si>
    <t>Depreciation</t>
  </si>
  <si>
    <t>Change in Operating working capital</t>
  </si>
  <si>
    <t>Cash from operating activities</t>
  </si>
  <si>
    <t>Change in Other assets</t>
  </si>
  <si>
    <t>Cash from investing activities</t>
  </si>
  <si>
    <t>Change in LT debt</t>
  </si>
  <si>
    <t>Change in Common stock</t>
  </si>
  <si>
    <t>Dividends</t>
  </si>
  <si>
    <t>Cash from financing activities</t>
  </si>
  <si>
    <t>Net change in cash</t>
  </si>
  <si>
    <t>5.</t>
  </si>
  <si>
    <t>SUM to left</t>
  </si>
  <si>
    <t>6.</t>
  </si>
  <si>
    <t>Unexpected SUM behavior</t>
  </si>
  <si>
    <t>Operating working capital</t>
  </si>
  <si>
    <t>Accounts receivable</t>
  </si>
  <si>
    <t>Inventory</t>
  </si>
  <si>
    <t>Total CA except cash</t>
  </si>
  <si>
    <t>Accounts payable</t>
  </si>
  <si>
    <t>Other current liabilities</t>
  </si>
  <si>
    <t>Total CL except debt</t>
  </si>
  <si>
    <t>Hints</t>
  </si>
  <si>
    <t>Expenses and depletions of cash expressed positively</t>
  </si>
  <si>
    <t xml:space="preserve">    Gross profit</t>
  </si>
  <si>
    <t>Selling expense</t>
  </si>
  <si>
    <t>Admin expense</t>
  </si>
  <si>
    <t xml:space="preserve">    Total op. expenses</t>
  </si>
  <si>
    <t xml:space="preserve">Add </t>
  </si>
  <si>
    <t xml:space="preserve">    Operating profit</t>
  </si>
  <si>
    <t>Taxes</t>
  </si>
  <si>
    <t xml:space="preserve">    Net income</t>
  </si>
  <si>
    <t>Expenses and depletions of cash expressed negatively</t>
  </si>
  <si>
    <t>Change in operating working capital</t>
  </si>
  <si>
    <t>Cash flows from operating activities</t>
  </si>
  <si>
    <t>Just SUM it!</t>
  </si>
  <si>
    <t>Earnings before interest and taxes</t>
  </si>
  <si>
    <t>Interest income</t>
  </si>
  <si>
    <t>Interest expense</t>
  </si>
  <si>
    <t>Other income/(expense)</t>
  </si>
  <si>
    <t>Earnings before taxes</t>
  </si>
  <si>
    <t>Subtotals</t>
  </si>
  <si>
    <t>Growth formulas</t>
  </si>
  <si>
    <t>Hist</t>
  </si>
  <si>
    <t>Sales growth rate</t>
  </si>
  <si>
    <t>Previous unit * (1+ growth factor)</t>
  </si>
  <si>
    <t>Dividend growth</t>
  </si>
  <si>
    <t>Other liabilities $ increase</t>
  </si>
  <si>
    <t>Other liabilities</t>
  </si>
  <si>
    <t>Careful! Read the assumption!</t>
  </si>
  <si>
    <t>CAPEX reduction</t>
  </si>
  <si>
    <t xml:space="preserve">CAPEX </t>
  </si>
  <si>
    <t>Use growth formula with subtraction</t>
  </si>
  <si>
    <t>Long-term assets $ reduction</t>
  </si>
  <si>
    <t>Long-term assets</t>
  </si>
  <si>
    <t>Previous budget</t>
  </si>
  <si>
    <t>% 
increase</t>
  </si>
  <si>
    <t>New budget</t>
  </si>
  <si>
    <t>Growth formula</t>
  </si>
  <si>
    <t>Lodging</t>
  </si>
  <si>
    <t>Copy</t>
  </si>
  <si>
    <t xml:space="preserve"> </t>
  </si>
  <si>
    <t>Relation formulas</t>
  </si>
  <si>
    <t>Cost of goods sold</t>
  </si>
  <si>
    <t>Multiply sales, above, by %</t>
  </si>
  <si>
    <t>COGS % of sales</t>
  </si>
  <si>
    <t>Net income before taxes</t>
  </si>
  <si>
    <t>Taxes % of Net inc bef. taxes</t>
  </si>
  <si>
    <t>Depreciation % of previous PP&amp;E</t>
  </si>
  <si>
    <t>Multiply last year's PP&amp;E by %</t>
  </si>
  <si>
    <t>PP&amp;E</t>
  </si>
  <si>
    <t>A/R % of sales</t>
  </si>
  <si>
    <t>A/R</t>
  </si>
  <si>
    <t>Salaries</t>
  </si>
  <si>
    <t>Benefits</t>
  </si>
  <si>
    <t>Benefits % of salaries</t>
  </si>
  <si>
    <t>Ratios</t>
  </si>
  <si>
    <t>Modeling ratios</t>
  </si>
  <si>
    <t>Find relation ratios</t>
  </si>
  <si>
    <t>COGS</t>
  </si>
  <si>
    <t>Dividends % of net income</t>
  </si>
  <si>
    <t>Inventory % of COGS</t>
  </si>
  <si>
    <t>Use COGS, above</t>
  </si>
  <si>
    <t>Find growth rates</t>
  </si>
  <si>
    <t>Dividend growth rate</t>
  </si>
  <si>
    <t>Absolute references</t>
  </si>
  <si>
    <t>Year 0</t>
  </si>
  <si>
    <t>Tax rate</t>
  </si>
  <si>
    <t>Expenses</t>
  </si>
  <si>
    <t>Profit before tax</t>
  </si>
  <si>
    <t>Tax</t>
  </si>
  <si>
    <t>Use the F4 key to apply absolute references</t>
  </si>
  <si>
    <t>Profit after tax</t>
  </si>
  <si>
    <t>Extras</t>
  </si>
  <si>
    <t>Changes in accounts over time</t>
  </si>
  <si>
    <t>Debt, ending amount</t>
  </si>
  <si>
    <t>Repayment reduces debt</t>
  </si>
  <si>
    <t>Repayment during year</t>
  </si>
  <si>
    <t>Debt, beginning of year</t>
  </si>
  <si>
    <t>Begin. of yr. amt. = end of prev. yr.</t>
  </si>
  <si>
    <t>Issuance</t>
  </si>
  <si>
    <t>Repayment</t>
  </si>
  <si>
    <t>Debt, end of year</t>
  </si>
  <si>
    <t>Intangibles, beginning of year</t>
  </si>
  <si>
    <t>Purchase of additional intangibles</t>
  </si>
  <si>
    <t>Amortization of intangibles</t>
  </si>
  <si>
    <t>Intangibles, end of year</t>
  </si>
  <si>
    <t>Net PP&amp;E, beginning of year</t>
  </si>
  <si>
    <t>Annual depreciation</t>
  </si>
  <si>
    <t>Net PP&amp;E, end of year</t>
  </si>
  <si>
    <t>Keyboard shortcuts</t>
  </si>
  <si>
    <t>Building formulas</t>
  </si>
  <si>
    <t>Cross sheet formulas</t>
  </si>
  <si>
    <t>Integrity and efficiency tips</t>
  </si>
  <si>
    <t>Modeling fundamentals</t>
  </si>
  <si>
    <t>Key ratios</t>
  </si>
  <si>
    <t>All rights reserved.</t>
  </si>
  <si>
    <r>
      <t xml:space="preserve">+1 (704) 927-9688 </t>
    </r>
    <r>
      <rPr>
        <sz val="8"/>
        <rFont val="Arial"/>
        <family val="2"/>
      </rPr>
      <t xml:space="preserve">(outside the United States) </t>
    </r>
  </si>
  <si>
    <r>
      <t xml:space="preserve">+1 (800) 887-1320 </t>
    </r>
    <r>
      <rPr>
        <sz val="8"/>
        <rFont val="Arial"/>
        <family val="2"/>
      </rPr>
      <t>(in the United States)</t>
    </r>
  </si>
  <si>
    <t xml:space="preserve">New York, NY 10016 USA </t>
  </si>
  <si>
    <t>275 Madison Avenue  Suite 1201</t>
  </si>
  <si>
    <t>Training The Street</t>
  </si>
  <si>
    <t>x</t>
  </si>
  <si>
    <t>End</t>
  </si>
  <si>
    <t>Special features</t>
  </si>
  <si>
    <t>Sales - COGS</t>
  </si>
  <si>
    <t>Operating profit - taxes</t>
  </si>
  <si>
    <t>Problem 1</t>
  </si>
  <si>
    <t>Problem 2</t>
  </si>
  <si>
    <t>Problem 3</t>
  </si>
  <si>
    <t>Problem 4</t>
  </si>
  <si>
    <t xml:space="preserve">Capital expenditure to sales </t>
  </si>
  <si>
    <t>Net PPE to sales</t>
  </si>
  <si>
    <t>Multiply net income before taxes by %</t>
  </si>
  <si>
    <t>Multiply sales by %</t>
  </si>
  <si>
    <t>Multiply salaries by %</t>
  </si>
  <si>
    <t>Gross profit - total op. expenses</t>
  </si>
  <si>
    <t>Divide COGS by sales</t>
  </si>
  <si>
    <r>
      <t>Use t</t>
    </r>
    <r>
      <rPr>
        <sz val="10"/>
        <rFont val="Arial"/>
        <family val="2"/>
      </rPr>
      <t>his year / last year –1</t>
    </r>
  </si>
  <si>
    <t>Amortization reduces intangibles</t>
  </si>
  <si>
    <t>Depreciation decreases PP&amp;E</t>
  </si>
  <si>
    <t>CapEx increases PP&amp;E</t>
  </si>
  <si>
    <t>CapEx</t>
  </si>
  <si>
    <t>Problem 5</t>
  </si>
  <si>
    <t>Formula 1</t>
  </si>
  <si>
    <t>Formula 2</t>
  </si>
  <si>
    <t>Formula 3</t>
  </si>
  <si>
    <t>Formula 4</t>
  </si>
  <si>
    <t>Formula 5</t>
  </si>
  <si>
    <t>Formula 6</t>
  </si>
  <si>
    <t>info@trainingthestreet.com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</si>
</sst>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[$-409]d\-mmm\-yy;@"/>
    <numFmt numFmtId="169" formatCode="0.0%_);\(0.0%\)"/>
    <numFmt numFmtId="170" formatCode="#,##0.00_)\x;\(#,##0.00\)\x"/>
    <numFmt numFmtId="171" formatCode="&quot;Yes&quot;;;&quot;No&quot;"/>
    <numFmt numFmtId="172" formatCode=";;;"/>
  </numFmts>
  <fonts count="46" x14ac:knownFonts="1">
    <font>
      <sz val="10"/>
      <name val="Arial"/>
      <family val="2"/>
    </font>
    <font>
      <sz val="20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theme="11"/>
      <name val="Arial"/>
      <family val="2"/>
    </font>
    <font>
      <sz val="10"/>
      <color rgb="FF0000FF"/>
      <name val="Arial"/>
      <family val="2"/>
    </font>
    <font>
      <b/>
      <i/>
      <sz val="12"/>
      <color indexed="5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i/>
      <sz val="10"/>
      <color indexed="17"/>
      <name val="Arial"/>
      <family val="2"/>
    </font>
    <font>
      <sz val="10"/>
      <color indexed="56"/>
      <name val="Arial"/>
      <family val="2"/>
    </font>
    <font>
      <b/>
      <i/>
      <sz val="10"/>
      <color indexed="58"/>
      <name val="Arial"/>
      <family val="2"/>
    </font>
    <font>
      <sz val="20"/>
      <color theme="0"/>
      <name val="Calibri"/>
      <family val="2"/>
      <scheme val="minor"/>
    </font>
    <font>
      <sz val="20"/>
      <color rgb="FF9C0006"/>
      <name val="Calibri"/>
      <family val="2"/>
      <scheme val="minor"/>
    </font>
    <font>
      <b/>
      <sz val="20"/>
      <color rgb="FFFA7D00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20"/>
      <color rgb="FF7F7F7F"/>
      <name val="Calibri"/>
      <family val="2"/>
      <scheme val="minor"/>
    </font>
    <font>
      <sz val="20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indexed="12"/>
      <name val="Arial"/>
      <family val="2"/>
    </font>
    <font>
      <sz val="20"/>
      <color rgb="FFFA7D00"/>
      <name val="Calibri"/>
      <family val="2"/>
      <scheme val="minor"/>
    </font>
    <font>
      <sz val="20"/>
      <color rgb="FF9C5700"/>
      <name val="Calibri"/>
      <family val="2"/>
      <scheme val="minor"/>
    </font>
    <font>
      <b/>
      <sz val="20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rgb="FF0000FF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2"/>
      <name val="Arial"/>
      <family val="2"/>
    </font>
    <font>
      <b/>
      <sz val="24"/>
      <color rgb="FF0000FF"/>
      <name val="Arial"/>
      <family val="2"/>
    </font>
    <font>
      <sz val="11"/>
      <name val="Arial"/>
      <family val="2"/>
    </font>
    <font>
      <b/>
      <sz val="12"/>
      <color indexed="17"/>
      <name val="Arial"/>
      <family val="2"/>
    </font>
    <font>
      <b/>
      <sz val="12"/>
      <color indexed="56"/>
      <name val="Arial"/>
      <family val="2"/>
    </font>
    <font>
      <sz val="9"/>
      <name val="Arial"/>
      <family val="2"/>
    </font>
    <font>
      <u/>
      <sz val="10"/>
      <color rgb="FFFF6600"/>
      <name val="Arial"/>
      <family val="2"/>
    </font>
    <font>
      <sz val="7"/>
      <color indexed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color rgb="FFFF0000"/>
      <name val="Arial"/>
      <family val="2"/>
    </font>
    <font>
      <b/>
      <sz val="10"/>
      <color indexed="56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27D07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64"/>
      </bottom>
      <diagonal/>
    </border>
  </borders>
  <cellStyleXfs count="64">
    <xf numFmtId="167" fontId="0" fillId="0" borderId="0"/>
    <xf numFmtId="15" fontId="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7" fontId="6" fillId="33" borderId="1" applyNumberFormat="0" applyAlignment="0" applyProtection="0"/>
    <xf numFmtId="169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15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5" applyNumberFormat="0" applyAlignment="0" applyProtection="0"/>
    <xf numFmtId="0" fontId="16" fillId="5" borderId="6" applyNumberFormat="0" applyAlignment="0" applyProtection="0"/>
    <xf numFmtId="0" fontId="24" fillId="0" borderId="7" applyNumberFormat="0" applyFill="0" applyAlignment="0" applyProtection="0"/>
    <xf numFmtId="0" fontId="17" fillId="6" borderId="8" applyNumberFormat="0" applyAlignment="0" applyProtection="0"/>
    <xf numFmtId="0" fontId="29" fillId="0" borderId="0" applyNumberFormat="0" applyFill="0" applyBorder="0" applyAlignment="0" applyProtection="0"/>
    <xf numFmtId="0" fontId="2" fillId="7" borderId="9" applyNumberFormat="0" applyFont="0" applyAlignment="0" applyProtection="0"/>
    <xf numFmtId="0" fontId="1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6" fontId="5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7" fontId="30" fillId="0" borderId="11" applyNumberFormat="0" applyAlignment="0" applyProtection="0"/>
    <xf numFmtId="167" fontId="31" fillId="32" borderId="0" applyNumberFormat="0" applyBorder="0" applyProtection="0">
      <alignment horizontal="left" vertical="center"/>
    </xf>
    <xf numFmtId="167" fontId="33" fillId="0" borderId="0" applyNumberFormat="0" applyFill="0" applyBorder="0" applyAlignment="0" applyProtection="0"/>
    <xf numFmtId="171" fontId="4" fillId="0" borderId="0" applyFont="0" applyFill="0" applyBorder="0" applyAlignment="0" applyProtection="0"/>
    <xf numFmtId="169" fontId="6" fillId="33" borderId="1" applyAlignment="0" applyProtection="0"/>
    <xf numFmtId="172" fontId="2" fillId="0" borderId="0"/>
    <xf numFmtId="169" fontId="6" fillId="34" borderId="1" applyNumberFormat="0" applyFill="0" applyBorder="0" applyAlignment="0" applyProtection="0"/>
    <xf numFmtId="167" fontId="32" fillId="32" borderId="0" applyBorder="0" applyProtection="0">
      <alignment horizontal="left" vertical="center"/>
    </xf>
    <xf numFmtId="167" fontId="34" fillId="0" borderId="0" applyNumberFormat="0" applyFill="0" applyBorder="0" applyProtection="0">
      <alignment horizontal="left"/>
    </xf>
    <xf numFmtId="0" fontId="2" fillId="0" borderId="0"/>
    <xf numFmtId="166" fontId="2" fillId="0" borderId="0">
      <protection locked="0"/>
    </xf>
    <xf numFmtId="167" fontId="39" fillId="0" borderId="0" applyNumberFormat="0" applyFill="0" applyBorder="0" applyAlignment="0" applyProtection="0"/>
    <xf numFmtId="166" fontId="40" fillId="0" borderId="0" applyNumberFormat="0" applyFill="0" applyBorder="0" applyProtection="0">
      <alignment vertical="center"/>
      <protection hidden="1"/>
    </xf>
  </cellStyleXfs>
  <cellXfs count="76">
    <xf numFmtId="167" fontId="0" fillId="0" borderId="0" xfId="0"/>
    <xf numFmtId="167" fontId="7" fillId="0" borderId="0" xfId="0" applyFont="1"/>
    <xf numFmtId="167" fontId="8" fillId="0" borderId="0" xfId="0" applyFont="1"/>
    <xf numFmtId="169" fontId="4" fillId="0" borderId="0" xfId="4" applyFont="1" applyProtection="1">
      <protection locked="0"/>
    </xf>
    <xf numFmtId="167" fontId="2" fillId="0" borderId="0" xfId="0" applyFont="1" applyProtection="1">
      <protection locked="0"/>
    </xf>
    <xf numFmtId="167" fontId="10" fillId="0" borderId="0" xfId="0" applyFont="1" applyAlignment="1" applyProtection="1">
      <alignment horizontal="right"/>
      <protection locked="0"/>
    </xf>
    <xf numFmtId="167" fontId="11" fillId="0" borderId="0" xfId="0" quotePrefix="1" applyFont="1" applyAlignment="1" applyProtection="1">
      <alignment horizontal="center"/>
      <protection locked="0"/>
    </xf>
    <xf numFmtId="37" fontId="12" fillId="0" borderId="0" xfId="0" applyNumberFormat="1" applyFont="1"/>
    <xf numFmtId="167" fontId="2" fillId="0" borderId="0" xfId="0" applyFont="1" applyAlignment="1" applyProtection="1">
      <alignment horizontal="left" indent="1"/>
      <protection locked="0"/>
    </xf>
    <xf numFmtId="167" fontId="8" fillId="0" borderId="0" xfId="0" applyFont="1" applyAlignment="1">
      <alignment horizontal="right"/>
    </xf>
    <xf numFmtId="167" fontId="12" fillId="0" borderId="0" xfId="0" applyFont="1"/>
    <xf numFmtId="167" fontId="2" fillId="0" borderId="0" xfId="0" applyFont="1"/>
    <xf numFmtId="167" fontId="9" fillId="0" borderId="0" xfId="0" applyFont="1" applyAlignment="1">
      <alignment horizontal="left"/>
    </xf>
    <xf numFmtId="167" fontId="12" fillId="0" borderId="0" xfId="0" applyFont="1" applyAlignment="1">
      <alignment horizontal="left"/>
    </xf>
    <xf numFmtId="167" fontId="13" fillId="0" borderId="0" xfId="0" applyFont="1"/>
    <xf numFmtId="169" fontId="2" fillId="0" borderId="0" xfId="4" applyFont="1" applyBorder="1"/>
    <xf numFmtId="167" fontId="35" fillId="0" borderId="0" xfId="0" applyFont="1"/>
    <xf numFmtId="167" fontId="2" fillId="0" borderId="0" xfId="0" applyFont="1" applyAlignment="1">
      <alignment horizontal="left"/>
    </xf>
    <xf numFmtId="167" fontId="36" fillId="0" borderId="0" xfId="0" applyFont="1"/>
    <xf numFmtId="167" fontId="37" fillId="0" borderId="0" xfId="0" applyFont="1"/>
    <xf numFmtId="167" fontId="2" fillId="0" borderId="0" xfId="0" applyFont="1" applyAlignment="1" applyProtection="1">
      <alignment horizontal="center"/>
      <protection locked="0"/>
    </xf>
    <xf numFmtId="167" fontId="37" fillId="0" borderId="0" xfId="0" applyFont="1" applyAlignment="1">
      <alignment horizontal="center"/>
    </xf>
    <xf numFmtId="169" fontId="2" fillId="0" borderId="0" xfId="4" applyFont="1" applyProtection="1">
      <protection locked="0"/>
    </xf>
    <xf numFmtId="169" fontId="2" fillId="0" borderId="0" xfId="4" applyFont="1"/>
    <xf numFmtId="167" fontId="2" fillId="0" borderId="0" xfId="0" applyFont="1" applyAlignment="1" applyProtection="1">
      <alignment horizontal="right"/>
      <protection locked="0"/>
    </xf>
    <xf numFmtId="8" fontId="2" fillId="0" borderId="0" xfId="0" applyNumberFormat="1" applyFont="1" applyProtection="1">
      <protection locked="0"/>
    </xf>
    <xf numFmtId="167" fontId="31" fillId="32" borderId="0" xfId="52">
      <alignment horizontal="left" vertical="center"/>
    </xf>
    <xf numFmtId="167" fontId="33" fillId="0" borderId="0" xfId="53"/>
    <xf numFmtId="167" fontId="33" fillId="0" borderId="0" xfId="53" applyProtection="1">
      <protection locked="0"/>
    </xf>
    <xf numFmtId="167" fontId="33" fillId="0" borderId="0" xfId="53" applyAlignment="1" applyProtection="1">
      <alignment horizontal="right"/>
      <protection locked="0"/>
    </xf>
    <xf numFmtId="167" fontId="33" fillId="0" borderId="0" xfId="53" quotePrefix="1" applyAlignment="1" applyProtection="1">
      <alignment horizontal="center"/>
      <protection locked="0"/>
    </xf>
    <xf numFmtId="167" fontId="33" fillId="0" borderId="0" xfId="53" applyAlignment="1">
      <alignment horizontal="left"/>
    </xf>
    <xf numFmtId="167" fontId="33" fillId="0" borderId="0" xfId="53" applyAlignment="1">
      <alignment horizontal="center"/>
    </xf>
    <xf numFmtId="169" fontId="6" fillId="33" borderId="1" xfId="3" applyNumberFormat="1" applyProtection="1">
      <protection locked="0"/>
    </xf>
    <xf numFmtId="167" fontId="6" fillId="33" borderId="1" xfId="3" applyProtection="1">
      <protection locked="0"/>
    </xf>
    <xf numFmtId="167" fontId="33" fillId="0" borderId="0" xfId="53" applyBorder="1" applyAlignment="1" applyProtection="1">
      <alignment horizontal="right" wrapText="1"/>
      <protection locked="0"/>
    </xf>
    <xf numFmtId="169" fontId="6" fillId="33" borderId="1" xfId="3" applyNumberFormat="1"/>
    <xf numFmtId="167" fontId="41" fillId="0" borderId="0" xfId="59" applyFont="1" applyBorder="1">
      <alignment horizontal="left"/>
    </xf>
    <xf numFmtId="166" fontId="41" fillId="0" borderId="0" xfId="51" applyNumberFormat="1" applyFont="1" applyBorder="1"/>
    <xf numFmtId="166" fontId="42" fillId="0" borderId="0" xfId="51" applyNumberFormat="1" applyFont="1" applyBorder="1" applyAlignment="1">
      <alignment horizontal="center"/>
    </xf>
    <xf numFmtId="166" fontId="42" fillId="0" borderId="0" xfId="51" applyNumberFormat="1" applyFont="1" applyBorder="1" applyAlignment="1">
      <alignment horizontal="left"/>
    </xf>
    <xf numFmtId="37" fontId="8" fillId="0" borderId="11" xfId="51" applyNumberFormat="1" applyFont="1"/>
    <xf numFmtId="166" fontId="41" fillId="0" borderId="11" xfId="51" applyNumberFormat="1" applyFont="1"/>
    <xf numFmtId="168" fontId="42" fillId="0" borderId="11" xfId="51" applyNumberFormat="1" applyFont="1" applyAlignment="1">
      <alignment horizontal="center" vertical="center"/>
    </xf>
    <xf numFmtId="168" fontId="42" fillId="0" borderId="11" xfId="51" applyNumberFormat="1" applyFont="1" applyAlignment="1">
      <alignment horizontal="left" vertical="center"/>
    </xf>
    <xf numFmtId="167" fontId="41" fillId="0" borderId="0" xfId="0" applyFont="1"/>
    <xf numFmtId="37" fontId="43" fillId="0" borderId="0" xfId="0" applyNumberFormat="1" applyFont="1" applyAlignment="1">
      <alignment horizontal="center"/>
    </xf>
    <xf numFmtId="167" fontId="43" fillId="0" borderId="11" xfId="51" applyFont="1"/>
    <xf numFmtId="15" fontId="43" fillId="0" borderId="11" xfId="51" applyNumberFormat="1" applyFont="1" applyAlignment="1">
      <alignment horizontal="center"/>
    </xf>
    <xf numFmtId="167" fontId="31" fillId="35" borderId="0" xfId="52" applyFill="1">
      <alignment horizontal="left" vertical="center"/>
    </xf>
    <xf numFmtId="167" fontId="32" fillId="35" borderId="0" xfId="52" applyFont="1" applyFill="1">
      <alignment horizontal="left" vertical="center"/>
    </xf>
    <xf numFmtId="167" fontId="31" fillId="35" borderId="0" xfId="52" applyFill="1" applyAlignment="1">
      <alignment horizontal="right" vertical="center"/>
    </xf>
    <xf numFmtId="167" fontId="32" fillId="35" borderId="0" xfId="52" applyFont="1" applyFill="1" applyAlignment="1">
      <alignment horizontal="right" vertical="center"/>
    </xf>
    <xf numFmtId="167" fontId="2" fillId="36" borderId="12" xfId="0" applyFont="1" applyFill="1" applyBorder="1" applyProtection="1">
      <protection locked="0"/>
    </xf>
    <xf numFmtId="167" fontId="2" fillId="36" borderId="13" xfId="0" applyFont="1" applyFill="1" applyBorder="1" applyProtection="1">
      <protection locked="0"/>
    </xf>
    <xf numFmtId="167" fontId="2" fillId="36" borderId="12" xfId="0" applyFont="1" applyFill="1" applyBorder="1"/>
    <xf numFmtId="167" fontId="2" fillId="36" borderId="14" xfId="0" applyFont="1" applyFill="1" applyBorder="1"/>
    <xf numFmtId="169" fontId="2" fillId="36" borderId="12" xfId="0" applyNumberFormat="1" applyFont="1" applyFill="1" applyBorder="1"/>
    <xf numFmtId="167" fontId="44" fillId="0" borderId="0" xfId="0" applyFont="1"/>
    <xf numFmtId="167" fontId="31" fillId="0" borderId="0" xfId="52" applyFill="1" applyAlignment="1">
      <alignment horizontal="right" vertical="center"/>
    </xf>
    <xf numFmtId="167" fontId="0" fillId="0" borderId="0" xfId="0" applyAlignment="1">
      <alignment horizontal="left"/>
    </xf>
    <xf numFmtId="166" fontId="2" fillId="0" borderId="0" xfId="61" applyProtection="1">
      <protection hidden="1"/>
    </xf>
    <xf numFmtId="166" fontId="38" fillId="0" borderId="0" xfId="61" applyFont="1" applyProtection="1">
      <protection hidden="1"/>
    </xf>
    <xf numFmtId="166" fontId="38" fillId="0" borderId="0" xfId="61" applyFont="1">
      <protection locked="0"/>
    </xf>
    <xf numFmtId="166" fontId="8" fillId="0" borderId="0" xfId="61" applyFont="1" applyAlignment="1" applyProtection="1">
      <alignment vertical="top" wrapText="1"/>
      <protection hidden="1"/>
    </xf>
    <xf numFmtId="166" fontId="2" fillId="0" borderId="0" xfId="61" applyAlignment="1" applyProtection="1">
      <alignment horizontal="centerContinuous"/>
      <protection hidden="1"/>
    </xf>
    <xf numFmtId="166" fontId="39" fillId="0" borderId="0" xfId="62" applyNumberFormat="1" applyProtection="1">
      <protection hidden="1"/>
    </xf>
    <xf numFmtId="49" fontId="2" fillId="0" borderId="0" xfId="61" applyNumberFormat="1" applyProtection="1">
      <protection hidden="1"/>
    </xf>
    <xf numFmtId="166" fontId="2" fillId="0" borderId="0" xfId="61">
      <protection locked="0"/>
    </xf>
    <xf numFmtId="166" fontId="8" fillId="0" borderId="0" xfId="61" applyFont="1" applyProtection="1">
      <protection hidden="1"/>
    </xf>
    <xf numFmtId="166" fontId="40" fillId="0" borderId="0" xfId="63" applyProtection="1">
      <alignment vertical="center"/>
      <protection hidden="1"/>
    </xf>
    <xf numFmtId="167" fontId="8" fillId="0" borderId="0" xfId="0" applyFont="1" applyProtection="1">
      <protection locked="0"/>
    </xf>
    <xf numFmtId="167" fontId="8" fillId="36" borderId="12" xfId="0" applyFont="1" applyFill="1" applyBorder="1" applyProtection="1">
      <protection locked="0"/>
    </xf>
    <xf numFmtId="37" fontId="45" fillId="0" borderId="0" xfId="0" applyNumberFormat="1" applyFont="1"/>
    <xf numFmtId="167" fontId="8" fillId="0" borderId="0" xfId="0" applyFont="1" applyAlignment="1" applyProtection="1">
      <alignment horizontal="left" indent="1"/>
      <protection locked="0"/>
    </xf>
    <xf numFmtId="167" fontId="8" fillId="36" borderId="13" xfId="0" applyFont="1" applyFill="1" applyBorder="1" applyProtection="1">
      <protection locked="0"/>
    </xf>
  </cellXfs>
  <cellStyles count="64">
    <cellStyle name="20% - Accent1" xfId="22" builtinId="30" hidden="1" customBuiltin="1"/>
    <cellStyle name="20% - Accent2" xfId="26" builtinId="34" hidden="1" customBuiltin="1"/>
    <cellStyle name="20% - Accent3" xfId="30" builtinId="38" hidden="1" customBuiltin="1"/>
    <cellStyle name="20% - Accent4" xfId="34" builtinId="42" hidden="1" customBuiltin="1"/>
    <cellStyle name="20% - Accent5" xfId="38" builtinId="46" hidden="1" customBuiltin="1"/>
    <cellStyle name="20% - Accent6" xfId="42" builtinId="50" hidden="1" customBuiltin="1"/>
    <cellStyle name="40% - Accent1" xfId="23" builtinId="31" hidden="1" customBuiltin="1"/>
    <cellStyle name="40% - Accent2" xfId="27" builtinId="35" hidden="1" customBuiltin="1"/>
    <cellStyle name="40% - Accent3" xfId="31" builtinId="39" hidden="1" customBuiltin="1"/>
    <cellStyle name="40% - Accent4" xfId="35" builtinId="43" hidden="1" customBuiltin="1"/>
    <cellStyle name="40% - Accent5" xfId="39" builtinId="47" hidden="1" customBuiltin="1"/>
    <cellStyle name="40% - Accent6" xfId="43" builtinId="51" hidden="1" customBuiltin="1"/>
    <cellStyle name="60% - Accent1" xfId="24" builtinId="32" hidden="1" customBuiltin="1"/>
    <cellStyle name="60% - Accent2" xfId="28" builtinId="36" hidden="1" customBuiltin="1"/>
    <cellStyle name="60% - Accent3" xfId="32" builtinId="40" hidden="1" customBuiltin="1"/>
    <cellStyle name="60% - Accent4" xfId="36" builtinId="44" hidden="1" customBuiltin="1"/>
    <cellStyle name="60% - Accent5" xfId="40" builtinId="48" hidden="1" customBuiltin="1"/>
    <cellStyle name="60% - Accent6" xfId="44" builtinId="52" hidden="1" customBuiltin="1"/>
    <cellStyle name="Accent1" xfId="21" builtinId="29" hidden="1" customBuiltin="1"/>
    <cellStyle name="Accent2" xfId="25" builtinId="33" hidden="1" customBuiltin="1"/>
    <cellStyle name="Accent3" xfId="29" builtinId="37" hidden="1" customBuiltin="1"/>
    <cellStyle name="Accent4" xfId="33" builtinId="41" hidden="1" customBuiltin="1"/>
    <cellStyle name="Accent5" xfId="37" builtinId="45" hidden="1" customBuiltin="1"/>
    <cellStyle name="Accent6" xfId="41" builtinId="49" hidden="1" customBuiltin="1"/>
    <cellStyle name="Bad" xfId="11" builtinId="27" hidden="1" customBuiltin="1"/>
    <cellStyle name="blank" xfId="56" xr:uid="{D7831DD4-0997-4CCA-87B2-5D4201622A13}"/>
    <cellStyle name="Blue" xfId="57" xr:uid="{A018ECFD-CF68-44A0-B726-89B69CC79B11}"/>
    <cellStyle name="Calculation" xfId="14" builtinId="22" hidden="1" customBuiltin="1"/>
    <cellStyle name="Check Cell" xfId="16" builtinId="23" hidden="1" customBuiltin="1"/>
    <cellStyle name="Comma" xfId="46" builtinId="3" hidden="1" customBuiltin="1"/>
    <cellStyle name="Comma [0]" xfId="47" builtinId="6" hidden="1" customBuiltin="1"/>
    <cellStyle name="Currency" xfId="48" builtinId="4" hidden="1" customBuiltin="1"/>
    <cellStyle name="Currency [0]" xfId="49" builtinId="7" hidden="1" customBuiltin="1"/>
    <cellStyle name="Date" xfId="1" xr:uid="{00000000-0005-0000-0000-00001F000000}"/>
    <cellStyle name="Explanatory Text" xfId="19" builtinId="53" hidden="1" customBuiltin="1"/>
    <cellStyle name="Followed Hyperlink" xfId="45" builtinId="9" hidden="1"/>
    <cellStyle name="Good" xfId="10" builtinId="26" hidden="1" customBuiltin="1"/>
    <cellStyle name="Header" xfId="51" xr:uid="{00000000-0005-0000-0000-000025000000}"/>
    <cellStyle name="Heading 1" xfId="6" builtinId="16" hidden="1" customBuiltin="1"/>
    <cellStyle name="Heading 2" xfId="7" builtinId="17" hidden="1" customBuiltin="1"/>
    <cellStyle name="Heading 3" xfId="8" builtinId="18" hidden="1" customBuiltin="1"/>
    <cellStyle name="Heading 4" xfId="9" builtinId="19" hidden="1" customBuiltin="1"/>
    <cellStyle name="Hyperlink" xfId="2" builtinId="8" hidden="1" customBuiltin="1"/>
    <cellStyle name="Hyperlink 2" xfId="62" xr:uid="{FE0CBFA0-8C94-49C2-BF53-30338F24EB6D}"/>
    <cellStyle name="Input" xfId="3" builtinId="20" customBuiltin="1"/>
    <cellStyle name="Input %" xfId="55" xr:uid="{00000000-0005-0000-0000-00002D000000}"/>
    <cellStyle name="Linked Cell" xfId="15" builtinId="24" hidden="1" customBuiltin="1"/>
    <cellStyle name="Multiple" xfId="50" xr:uid="{00000000-0005-0000-0000-000030000000}"/>
    <cellStyle name="Neutral" xfId="12" builtinId="28" hidden="1" customBuiltin="1"/>
    <cellStyle name="Normal" xfId="0" builtinId="0" customBuiltin="1"/>
    <cellStyle name="Normal 2" xfId="60" xr:uid="{C7B99544-13F4-42EC-8151-2BB8AF239939}"/>
    <cellStyle name="Normal 3" xfId="61" xr:uid="{09638D8F-1732-4689-96E4-BB0C0F6CCE70}"/>
    <cellStyle name="Note" xfId="18" builtinId="10" hidden="1"/>
    <cellStyle name="Output" xfId="13" builtinId="21" hidden="1" customBuiltin="1"/>
    <cellStyle name="Percent" xfId="4" builtinId="5" customBuiltin="1"/>
    <cellStyle name="SubHeader" xfId="52" xr:uid="{00000000-0005-0000-0000-000036000000}"/>
    <cellStyle name="SubHeader 2" xfId="58" xr:uid="{DDAD3A3C-D835-435F-A030-B77A83B47F34}"/>
    <cellStyle name="SubHeader2" xfId="53" xr:uid="{00000000-0005-0000-0000-000037000000}"/>
    <cellStyle name="SuperHeader" xfId="59" xr:uid="{CB20BE71-89CD-4DC2-BB4C-F1B0200D82B3}"/>
    <cellStyle name="Title" xfId="5" builtinId="15" hidden="1" customBuiltin="1"/>
    <cellStyle name="Total" xfId="20" builtinId="25" hidden="1" customBuiltin="1"/>
    <cellStyle name="Warning Text" xfId="17" builtinId="11" hidden="1" customBuiltin="1"/>
    <cellStyle name="xGuides" xfId="63" xr:uid="{D281A0A6-2B84-45C1-AE50-CE64EE5C2122}"/>
    <cellStyle name="YesNo" xfId="54" xr:uid="{00000000-0005-0000-0000-00003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1859C"/>
      <color rgb="FFDBEEF4"/>
      <color rgb="FFFFFFCC"/>
      <color rgb="FFE1E1E1"/>
      <color rgb="FF0500FF"/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://www.instagram.com/trainingthestreet" TargetMode="External"/><Relationship Id="rId7" Type="http://schemas.openxmlformats.org/officeDocument/2006/relationships/hyperlink" Target="https://www.facebook.com/TrainingTheStree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trainingthestreet.com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company/training-the-street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jpeg"/><Relationship Id="rId9" Type="http://schemas.openxmlformats.org/officeDocument/2006/relationships/hyperlink" Target="https://twitter.com/tts_chat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1</xdr:row>
      <xdr:rowOff>121921</xdr:rowOff>
    </xdr:from>
    <xdr:ext cx="6857143" cy="4857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D7476C-3EB8-4DBD-8EB8-1C2FF3983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6" y="283846"/>
          <a:ext cx="6857143" cy="485714"/>
        </a:xfrm>
        <a:prstGeom prst="rect">
          <a:avLst/>
        </a:prstGeom>
      </xdr:spPr>
    </xdr:pic>
    <xdr:clientData/>
  </xdr:oneCellAnchor>
  <xdr:twoCellAnchor>
    <xdr:from>
      <xdr:col>2</xdr:col>
      <xdr:colOff>726976</xdr:colOff>
      <xdr:row>16</xdr:row>
      <xdr:rowOff>109861</xdr:rowOff>
    </xdr:from>
    <xdr:to>
      <xdr:col>2</xdr:col>
      <xdr:colOff>1190580</xdr:colOff>
      <xdr:row>20</xdr:row>
      <xdr:rowOff>18995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B0AFA6-FB3F-4CB4-B1A0-91E8F66BD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336701" y="2700661"/>
          <a:ext cx="463604" cy="556834"/>
        </a:xfrm>
        <a:prstGeom prst="rect">
          <a:avLst/>
        </a:prstGeom>
      </xdr:spPr>
    </xdr:pic>
    <xdr:clientData/>
  </xdr:twoCellAnchor>
  <xdr:oneCellAnchor>
    <xdr:from>
      <xdr:col>0</xdr:col>
      <xdr:colOff>198660</xdr:colOff>
      <xdr:row>16</xdr:row>
      <xdr:rowOff>109076</xdr:rowOff>
    </xdr:from>
    <xdr:ext cx="537633" cy="463154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F91973-0FDB-4D44-B0B6-10A9AF9EC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8660" y="2699876"/>
          <a:ext cx="537633" cy="463154"/>
        </a:xfrm>
        <a:prstGeom prst="rect">
          <a:avLst/>
        </a:prstGeom>
      </xdr:spPr>
    </xdr:pic>
    <xdr:clientData/>
  </xdr:oneCellAnchor>
  <xdr:oneCellAnchor>
    <xdr:from>
      <xdr:col>2</xdr:col>
      <xdr:colOff>41106</xdr:colOff>
      <xdr:row>16</xdr:row>
      <xdr:rowOff>112053</xdr:rowOff>
    </xdr:from>
    <xdr:ext cx="457200" cy="457200"/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9A02C9-F1DF-432E-B58E-BE4181204E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50831" y="2702853"/>
          <a:ext cx="457200" cy="457200"/>
        </a:xfrm>
        <a:prstGeom prst="rect">
          <a:avLst/>
        </a:prstGeom>
      </xdr:spPr>
    </xdr:pic>
    <xdr:clientData/>
  </xdr:oneCellAnchor>
  <xdr:oneCellAnchor>
    <xdr:from>
      <xdr:col>1</xdr:col>
      <xdr:colOff>719138</xdr:colOff>
      <xdr:row>16</xdr:row>
      <xdr:rowOff>114300</xdr:rowOff>
    </xdr:from>
    <xdr:ext cx="463881" cy="457200"/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1BBE2D2-E9C4-410B-A923-524FA10C5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7263" y="2705100"/>
          <a:ext cx="463881" cy="457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</xdr:row>
      <xdr:rowOff>130175</xdr:rowOff>
    </xdr:from>
    <xdr:to>
      <xdr:col>3</xdr:col>
      <xdr:colOff>611505</xdr:colOff>
      <xdr:row>10</xdr:row>
      <xdr:rowOff>142875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171450" y="593725"/>
          <a:ext cx="3919855" cy="1289050"/>
        </a:xfrm>
        <a:prstGeom prst="rect">
          <a:avLst/>
        </a:prstGeom>
        <a:solidFill>
          <a:srgbClr val="E8F8EA"/>
        </a:solidFill>
        <a:ln w="12700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marL="0" indent="0" algn="ctr" rtl="1">
            <a:defRPr sz="1000"/>
          </a:pPr>
          <a:r>
            <a:rPr lang="en-US" sz="1100" b="1" i="0" strike="noStrike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Growth formula using % growth</a:t>
          </a:r>
        </a:p>
        <a:p>
          <a:pPr marL="0" indent="0"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Previous quantity * (1 + percentage)</a:t>
          </a:r>
        </a:p>
        <a:p>
          <a:pPr marL="0" indent="0" algn="ctr" rtl="1">
            <a:defRPr sz="1000"/>
          </a:pPr>
          <a:endParaRPr lang="en-US" sz="1100" b="1" i="0" strike="noStrike">
            <a:solidFill>
              <a:sysClr val="windowText" lastClr="000000"/>
            </a:solidFill>
            <a:latin typeface="Arial"/>
            <a:ea typeface="+mn-ea"/>
            <a:cs typeface="Arial"/>
          </a:endParaRPr>
        </a:p>
        <a:p>
          <a:pPr marL="0" indent="0" algn="ctr" rtl="1">
            <a:defRPr sz="1000"/>
          </a:pPr>
          <a:r>
            <a:rPr lang="en-US" sz="1100" b="1" i="0" strike="noStrike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Growth formula using quantity growth</a:t>
          </a:r>
        </a:p>
        <a:p>
          <a:pPr marL="0" indent="0"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Previous quantity plus new quantity</a:t>
          </a:r>
        </a:p>
        <a:p>
          <a:pPr marL="0" indent="0" algn="ctr" rtl="1">
            <a:defRPr sz="1000"/>
          </a:pPr>
          <a:endParaRPr lang="en-US" sz="1100" b="1" i="0" strike="noStrike">
            <a:solidFill>
              <a:sysClr val="windowText" lastClr="000000"/>
            </a:solidFill>
            <a:latin typeface="Arial"/>
            <a:ea typeface="+mn-ea"/>
            <a:cs typeface="Arial"/>
          </a:endParaRPr>
        </a:p>
        <a:p>
          <a:pPr marL="0" indent="0"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Remember, growth can be negative!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3</xdr:row>
      <xdr:rowOff>76200</xdr:rowOff>
    </xdr:from>
    <xdr:to>
      <xdr:col>3</xdr:col>
      <xdr:colOff>450850</xdr:colOff>
      <xdr:row>9</xdr:row>
      <xdr:rowOff>66675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279400" y="704850"/>
          <a:ext cx="3651250" cy="974725"/>
        </a:xfrm>
        <a:prstGeom prst="rect">
          <a:avLst/>
        </a:prstGeom>
        <a:solidFill>
          <a:srgbClr val="E8F8EA"/>
        </a:solidFill>
        <a:ln w="12700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marL="0" indent="0" algn="ctr" rtl="1">
            <a:defRPr sz="1000"/>
          </a:pPr>
          <a:r>
            <a:rPr lang="en-US" sz="1100" b="1" i="0" strike="noStrike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Relation formula</a:t>
          </a:r>
        </a:p>
        <a:p>
          <a:pPr marL="0" indent="0"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Relates one account to another</a:t>
          </a:r>
        </a:p>
        <a:p>
          <a:pPr marL="0" indent="0" algn="ctr" rtl="1">
            <a:defRPr sz="1000"/>
          </a:pPr>
          <a:endParaRPr lang="en-US" sz="1100" b="1" i="0" strike="noStrike">
            <a:solidFill>
              <a:sysClr val="windowText" lastClr="000000"/>
            </a:solidFill>
            <a:latin typeface="Arial"/>
            <a:ea typeface="+mn-ea"/>
            <a:cs typeface="Arial"/>
          </a:endParaRPr>
        </a:p>
        <a:p>
          <a:pPr marL="0" indent="0"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Driver * percentage </a:t>
          </a:r>
        </a:p>
        <a:p>
          <a:pPr marL="0" indent="0"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COGS = Sales  *  70%</a:t>
          </a:r>
        </a:p>
        <a:p>
          <a:pPr marL="0" indent="0" algn="ctr" rtl="1">
            <a:defRPr sz="1000"/>
          </a:pPr>
          <a:endParaRPr lang="en-US" sz="1100" b="1" i="0" strike="noStrike">
            <a:solidFill>
              <a:sysClr val="windowText" lastClr="000000"/>
            </a:solidFill>
            <a:latin typeface="Arial"/>
            <a:ea typeface="+mn-ea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trainingthestreet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2DD5-0AC2-494E-B77B-7AB52BEBAA97}">
  <sheetPr>
    <tabColor rgb="FF027D07"/>
    <pageSetUpPr fitToPage="1"/>
  </sheetPr>
  <dimension ref="A1:E46"/>
  <sheetViews>
    <sheetView showGridLines="0" showRowColHeaders="0" zoomScaleNormal="100" workbookViewId="0"/>
  </sheetViews>
  <sheetFormatPr baseColWidth="10" defaultColWidth="0" defaultRowHeight="12.75" customHeight="1" zeroHeight="1" x14ac:dyDescent="0.15"/>
  <cols>
    <col min="1" max="1" width="3.5" style="61" customWidth="1"/>
    <col min="2" max="2" width="20.5" style="61" customWidth="1"/>
    <col min="3" max="3" width="64.83203125" style="61" customWidth="1"/>
    <col min="4" max="4" width="2.5" style="61" customWidth="1"/>
    <col min="5" max="8" width="9.83203125" style="61" customWidth="1"/>
    <col min="9" max="16384" width="0" style="61" hidden="1"/>
  </cols>
  <sheetData>
    <row r="1" spans="1:5" ht="13" x14ac:dyDescent="0.15">
      <c r="A1" s="70"/>
    </row>
    <row r="2" spans="1:5" ht="13" x14ac:dyDescent="0.15"/>
    <row r="3" spans="1:5" ht="13" x14ac:dyDescent="0.15"/>
    <row r="4" spans="1:5" ht="13" x14ac:dyDescent="0.15"/>
    <row r="5" spans="1:5" ht="13" x14ac:dyDescent="0.15"/>
    <row r="6" spans="1:5" ht="13" x14ac:dyDescent="0.15"/>
    <row r="7" spans="1:5" ht="13" x14ac:dyDescent="0.15">
      <c r="B7" s="69" t="s">
        <v>291</v>
      </c>
    </row>
    <row r="8" spans="1:5" ht="4.5" customHeight="1" x14ac:dyDescent="0.15"/>
    <row r="9" spans="1:5" ht="13.5" customHeight="1" x14ac:dyDescent="0.15">
      <c r="B9" s="61" t="s">
        <v>290</v>
      </c>
    </row>
    <row r="10" spans="1:5" ht="13" x14ac:dyDescent="0.15">
      <c r="B10" s="68" t="s">
        <v>289</v>
      </c>
    </row>
    <row r="11" spans="1:5" ht="4.5" customHeight="1" x14ac:dyDescent="0.15"/>
    <row r="12" spans="1:5" ht="13" x14ac:dyDescent="0.15">
      <c r="B12" s="67" t="s">
        <v>288</v>
      </c>
      <c r="E12" s="61" t="s">
        <v>231</v>
      </c>
    </row>
    <row r="13" spans="1:5" ht="13" x14ac:dyDescent="0.15">
      <c r="B13" s="67" t="s">
        <v>287</v>
      </c>
    </row>
    <row r="14" spans="1:5" ht="13.5" customHeight="1" x14ac:dyDescent="0.15"/>
    <row r="15" spans="1:5" ht="13.5" customHeight="1" x14ac:dyDescent="0.15">
      <c r="B15" s="66" t="s">
        <v>320</v>
      </c>
      <c r="E15" s="65"/>
    </row>
    <row r="16" spans="1:5" ht="13.5" customHeight="1" x14ac:dyDescent="0.15">
      <c r="E16" s="65"/>
    </row>
    <row r="17" spans="2:2" ht="13.5" customHeight="1" x14ac:dyDescent="0.15">
      <c r="B17" s="64"/>
    </row>
    <row r="18" spans="2:2" ht="13" x14ac:dyDescent="0.15"/>
    <row r="19" spans="2:2" ht="13" x14ac:dyDescent="0.15"/>
    <row r="20" spans="2:2" ht="4.5" customHeight="1" x14ac:dyDescent="0.15"/>
    <row r="21" spans="2:2" ht="4.5" customHeight="1" x14ac:dyDescent="0.15"/>
    <row r="22" spans="2:2" ht="13" x14ac:dyDescent="0.15"/>
    <row r="44" spans="2:2" ht="13" x14ac:dyDescent="0.15">
      <c r="B44" s="63" t="str">
        <f ca="1">"© 1999-" &amp;TEXT(TODAY(),"yyyy") &amp;" Training The Street LLC"</f>
        <v>© 1999-2026 Training The Street LLC</v>
      </c>
    </row>
    <row r="45" spans="2:2" ht="13" x14ac:dyDescent="0.15">
      <c r="B45" s="62" t="s">
        <v>286</v>
      </c>
    </row>
    <row r="46" spans="2:2" ht="13" x14ac:dyDescent="0.15"/>
  </sheetData>
  <sheetProtection algorithmName="SHA-512" hashValue="G7JnQmv5R0UhBgN9R0HXQ4sW1wxzklLricKWYlpQlkYxRl4JxbxuigPBupGwFtzrhX+TcGb5687ZXnkN3lPOGg==" saltValue="rqiyuhtDB1DUvb7ZOnmv3A==" spinCount="100000" sheet="1" objects="1" scenarios="1" selectLockedCells="1" selectUnlockedCells="1"/>
  <hyperlinks>
    <hyperlink ref="B15" r:id="rId1" xr:uid="{FB241518-1A75-4E95-91EA-A7B3CCAE18E3}"/>
  </hyperlinks>
  <printOptions horizontalCentered="1"/>
  <pageMargins left="0.38" right="0.2" top="1" bottom="1" header="0.5" footer="0.5"/>
  <pageSetup orientation="landscape" r:id="rId2"/>
  <headerFooter alignWithMargins="0"/>
  <colBreaks count="1" manualBreakCount="1">
    <brk id="3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0"/>
  <sheetViews>
    <sheetView showGridLines="0" zoomScaleNormal="100" workbookViewId="0"/>
  </sheetViews>
  <sheetFormatPr baseColWidth="10" defaultColWidth="9" defaultRowHeight="14" x14ac:dyDescent="0.15"/>
  <cols>
    <col min="1" max="1" width="2.5" style="16" customWidth="1"/>
    <col min="2" max="2" width="30.5" style="16" customWidth="1"/>
    <col min="3" max="3" width="13.5" style="16" customWidth="1"/>
    <col min="4" max="4" width="14" style="16" customWidth="1"/>
    <col min="5" max="7" width="13.5" style="16" customWidth="1"/>
    <col min="8" max="16384" width="9" style="16"/>
  </cols>
  <sheetData>
    <row r="1" spans="1:7" ht="18" x14ac:dyDescent="0.2">
      <c r="A1" s="37" t="s">
        <v>134</v>
      </c>
      <c r="B1" s="45"/>
      <c r="C1" s="45"/>
      <c r="D1" s="45"/>
      <c r="E1" s="46"/>
      <c r="F1" s="46"/>
      <c r="G1" s="46"/>
    </row>
    <row r="2" spans="1:7" ht="18" customHeight="1" thickBot="1" x14ac:dyDescent="0.25">
      <c r="A2" s="41" t="s">
        <v>284</v>
      </c>
      <c r="B2" s="47"/>
      <c r="C2" s="47"/>
      <c r="D2" s="47"/>
      <c r="E2" s="48"/>
      <c r="F2" s="48"/>
      <c r="G2" s="48"/>
    </row>
    <row r="3" spans="1:7" ht="15" thickTop="1" x14ac:dyDescent="0.15"/>
    <row r="4" spans="1:7" x14ac:dyDescent="0.15">
      <c r="A4" s="50" t="s">
        <v>294</v>
      </c>
      <c r="B4" s="50"/>
      <c r="C4" s="50"/>
      <c r="D4" s="50"/>
      <c r="E4" s="50"/>
      <c r="F4" s="50"/>
      <c r="G4" s="50"/>
    </row>
    <row r="5" spans="1:7" s="11" customFormat="1" ht="13" x14ac:dyDescent="0.15"/>
    <row r="6" spans="1:7" s="11" customFormat="1" ht="13" x14ac:dyDescent="0.15">
      <c r="B6" s="11" t="s">
        <v>280</v>
      </c>
    </row>
    <row r="7" spans="1:7" s="11" customFormat="1" ht="13" x14ac:dyDescent="0.15">
      <c r="B7" s="11" t="s">
        <v>281</v>
      </c>
    </row>
    <row r="8" spans="1:7" s="11" customFormat="1" ht="13" x14ac:dyDescent="0.15">
      <c r="B8" s="11" t="s">
        <v>282</v>
      </c>
    </row>
    <row r="9" spans="1:7" s="11" customFormat="1" ht="13" x14ac:dyDescent="0.15">
      <c r="B9" s="11" t="s">
        <v>283</v>
      </c>
    </row>
    <row r="10" spans="1:7" s="11" customFormat="1" ht="13" x14ac:dyDescent="0.15"/>
  </sheetData>
  <pageMargins left="0.74803149606299213" right="0.74803149606299213" top="0.98425196850393704" bottom="0.98425196850393704" header="0.51181102362204722" footer="0.51181102362204722"/>
  <pageSetup paperSize="9" fitToHeight="4" orientation="landscape" horizontalDpi="4294967292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L229"/>
  <sheetViews>
    <sheetView showGridLines="0" zoomScaleNormal="100" zoomScalePageLayoutView="75" workbookViewId="0">
      <pane ySplit="2" topLeftCell="A3" activePane="bottomLeft" state="frozen"/>
      <selection sqref="A1:XFD2"/>
      <selection pane="bottomLeft"/>
    </sheetView>
  </sheetViews>
  <sheetFormatPr baseColWidth="10" defaultColWidth="9" defaultRowHeight="13" x14ac:dyDescent="0.15"/>
  <cols>
    <col min="1" max="1" width="1.5" style="11" customWidth="1"/>
    <col min="2" max="2" width="36.5" style="11" customWidth="1"/>
    <col min="3" max="16" width="11.5" style="11" customWidth="1"/>
    <col min="17" max="19" width="9" style="11"/>
    <col min="20" max="20" width="10.33203125" style="11" customWidth="1"/>
    <col min="21" max="16384" width="9" style="11"/>
  </cols>
  <sheetData>
    <row r="1" spans="1:16" s="16" customFormat="1" ht="18" x14ac:dyDescent="0.2">
      <c r="A1" s="37" t="s">
        <v>134</v>
      </c>
      <c r="B1" s="38"/>
      <c r="C1" s="38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s="16" customFormat="1" ht="19" thickBot="1" x14ac:dyDescent="0.25">
      <c r="A2" s="41" t="s">
        <v>135</v>
      </c>
      <c r="B2" s="42"/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ht="14" thickTop="1" x14ac:dyDescent="0.15"/>
    <row r="4" spans="1:16" x14ac:dyDescent="0.15">
      <c r="A4" s="50" t="s">
        <v>2</v>
      </c>
      <c r="B4" s="50"/>
      <c r="C4" s="52" t="s">
        <v>3</v>
      </c>
      <c r="D4" s="52" t="s">
        <v>4</v>
      </c>
      <c r="E4" s="52" t="s">
        <v>5</v>
      </c>
      <c r="F4" s="52" t="s">
        <v>6</v>
      </c>
      <c r="G4" s="52" t="s">
        <v>7</v>
      </c>
    </row>
    <row r="5" spans="1:16" x14ac:dyDescent="0.15">
      <c r="B5" s="27" t="s">
        <v>8</v>
      </c>
    </row>
    <row r="6" spans="1:16" x14ac:dyDescent="0.15">
      <c r="B6" s="11" t="s">
        <v>9</v>
      </c>
      <c r="C6" s="11">
        <v>14000</v>
      </c>
      <c r="D6" s="11">
        <v>14600</v>
      </c>
      <c r="E6" s="11">
        <v>15500</v>
      </c>
      <c r="F6" s="11">
        <v>16700</v>
      </c>
      <c r="G6" s="2">
        <f>SUM(C6:F6)</f>
        <v>60800</v>
      </c>
    </row>
    <row r="7" spans="1:16" x14ac:dyDescent="0.15">
      <c r="B7" s="11" t="s">
        <v>10</v>
      </c>
      <c r="C7" s="11">
        <v>8000</v>
      </c>
      <c r="D7" s="11">
        <v>8600</v>
      </c>
      <c r="E7" s="11">
        <v>9500</v>
      </c>
      <c r="F7" s="11">
        <v>10700</v>
      </c>
      <c r="G7" s="2">
        <f>SUM(C7:F7)</f>
        <v>36800</v>
      </c>
    </row>
    <row r="8" spans="1:16" x14ac:dyDescent="0.15">
      <c r="B8" s="11" t="s">
        <v>11</v>
      </c>
      <c r="C8" s="11">
        <v>4500</v>
      </c>
      <c r="D8" s="11">
        <v>5100</v>
      </c>
      <c r="E8" s="11">
        <v>6000</v>
      </c>
      <c r="F8" s="11">
        <v>7200</v>
      </c>
      <c r="G8" s="2">
        <f>SUM(C8:F8)</f>
        <v>22800</v>
      </c>
    </row>
    <row r="9" spans="1:16" x14ac:dyDescent="0.15">
      <c r="B9" s="11" t="s">
        <v>12</v>
      </c>
      <c r="C9" s="11">
        <v>3200</v>
      </c>
      <c r="D9" s="11">
        <v>3800</v>
      </c>
      <c r="E9" s="11">
        <v>4700</v>
      </c>
      <c r="F9" s="11">
        <v>5900</v>
      </c>
      <c r="G9" s="2">
        <f>SUM(C9:F9)</f>
        <v>17600</v>
      </c>
    </row>
    <row r="10" spans="1:16" x14ac:dyDescent="0.15">
      <c r="B10" s="2" t="s">
        <v>13</v>
      </c>
      <c r="C10" s="2">
        <f>SUM(C6:C9)</f>
        <v>29700</v>
      </c>
      <c r="D10" s="2">
        <f>SUM(D6:D9)</f>
        <v>32100</v>
      </c>
      <c r="E10" s="2">
        <f>SUM(E6:E9)</f>
        <v>35700</v>
      </c>
      <c r="F10" s="2">
        <f>SUM(F6:F9)</f>
        <v>40500</v>
      </c>
      <c r="G10" s="2">
        <f>SUM(G6:G9)</f>
        <v>138000</v>
      </c>
    </row>
    <row r="11" spans="1:16" ht="16" x14ac:dyDescent="0.15">
      <c r="A11" s="50" t="s">
        <v>14</v>
      </c>
      <c r="B11" s="49"/>
      <c r="C11" s="51"/>
      <c r="D11" s="51"/>
      <c r="E11" s="51"/>
      <c r="F11" s="51"/>
      <c r="G11" s="51"/>
    </row>
    <row r="12" spans="1:16" x14ac:dyDescent="0.15">
      <c r="B12" s="27" t="s">
        <v>15</v>
      </c>
    </row>
    <row r="13" spans="1:16" x14ac:dyDescent="0.15">
      <c r="B13" s="11" t="s">
        <v>9</v>
      </c>
      <c r="C13" s="11">
        <v>7000</v>
      </c>
      <c r="D13" s="11">
        <v>7300</v>
      </c>
      <c r="E13" s="11">
        <v>7750</v>
      </c>
      <c r="F13" s="11">
        <v>8350</v>
      </c>
      <c r="G13" s="2">
        <f>SUM(C13:F13)</f>
        <v>30400</v>
      </c>
    </row>
    <row r="14" spans="1:16" x14ac:dyDescent="0.15">
      <c r="B14" s="11" t="s">
        <v>10</v>
      </c>
      <c r="C14" s="11">
        <v>4000</v>
      </c>
      <c r="D14" s="11">
        <v>4300</v>
      </c>
      <c r="E14" s="11">
        <v>4750</v>
      </c>
      <c r="F14" s="11">
        <v>5350</v>
      </c>
      <c r="G14" s="2">
        <f>SUM(C14:F14)</f>
        <v>18400</v>
      </c>
    </row>
    <row r="15" spans="1:16" x14ac:dyDescent="0.15">
      <c r="B15" s="11" t="s">
        <v>11</v>
      </c>
      <c r="C15" s="11">
        <v>2250</v>
      </c>
      <c r="D15" s="11">
        <v>2550</v>
      </c>
      <c r="E15" s="11">
        <v>3000</v>
      </c>
      <c r="F15" s="11">
        <v>3600</v>
      </c>
      <c r="G15" s="2">
        <f>SUM(C15:F15)</f>
        <v>11400</v>
      </c>
    </row>
    <row r="16" spans="1:16" x14ac:dyDescent="0.15">
      <c r="B16" s="11" t="s">
        <v>12</v>
      </c>
      <c r="C16" s="11">
        <v>1600</v>
      </c>
      <c r="D16" s="11">
        <v>1900</v>
      </c>
      <c r="E16" s="11">
        <v>2350</v>
      </c>
      <c r="F16" s="11">
        <v>2950</v>
      </c>
      <c r="G16" s="2">
        <f>SUM(C16:F16)</f>
        <v>8800</v>
      </c>
    </row>
    <row r="17" spans="1:7" x14ac:dyDescent="0.15">
      <c r="B17" s="2" t="s">
        <v>13</v>
      </c>
      <c r="C17" s="2">
        <f>SUM(C13:C16)</f>
        <v>14850</v>
      </c>
      <c r="D17" s="2">
        <f>SUM(D13:D16)</f>
        <v>16050</v>
      </c>
      <c r="E17" s="2">
        <f>SUM(E13:E16)</f>
        <v>17850</v>
      </c>
      <c r="F17" s="2">
        <f>SUM(F13:F16)</f>
        <v>20250</v>
      </c>
      <c r="G17" s="2">
        <f>SUM(G13:G16)</f>
        <v>69000</v>
      </c>
    </row>
    <row r="18" spans="1:7" ht="16" x14ac:dyDescent="0.15">
      <c r="A18" s="50" t="s">
        <v>16</v>
      </c>
      <c r="B18" s="49"/>
      <c r="C18" s="51"/>
      <c r="D18" s="51"/>
      <c r="E18" s="51"/>
      <c r="F18" s="51"/>
      <c r="G18" s="51"/>
    </row>
    <row r="19" spans="1:7" x14ac:dyDescent="0.15">
      <c r="B19" s="27" t="s">
        <v>17</v>
      </c>
    </row>
    <row r="20" spans="1:7" x14ac:dyDescent="0.15">
      <c r="B20" s="11" t="s">
        <v>9</v>
      </c>
      <c r="C20" s="11">
        <v>2800</v>
      </c>
      <c r="D20" s="11">
        <v>2920</v>
      </c>
      <c r="E20" s="11">
        <v>3100</v>
      </c>
      <c r="F20" s="11">
        <v>3340</v>
      </c>
      <c r="G20" s="2">
        <f>SUM(C20:F20)</f>
        <v>12160</v>
      </c>
    </row>
    <row r="21" spans="1:7" x14ac:dyDescent="0.15">
      <c r="B21" s="11" t="s">
        <v>10</v>
      </c>
      <c r="C21" s="11">
        <v>1600</v>
      </c>
      <c r="D21" s="11">
        <v>1720</v>
      </c>
      <c r="E21" s="11">
        <v>1900</v>
      </c>
      <c r="F21" s="11">
        <v>2140</v>
      </c>
      <c r="G21" s="2">
        <f>SUM(C21:F21)</f>
        <v>7360</v>
      </c>
    </row>
    <row r="22" spans="1:7" x14ac:dyDescent="0.15">
      <c r="B22" s="11" t="s">
        <v>11</v>
      </c>
      <c r="C22" s="11">
        <v>900</v>
      </c>
      <c r="D22" s="11">
        <v>1020</v>
      </c>
      <c r="E22" s="11">
        <v>1200</v>
      </c>
      <c r="F22" s="11">
        <v>1440</v>
      </c>
      <c r="G22" s="2">
        <f>SUM(C22:F22)</f>
        <v>4560</v>
      </c>
    </row>
    <row r="23" spans="1:7" x14ac:dyDescent="0.15">
      <c r="B23" s="11" t="s">
        <v>12</v>
      </c>
      <c r="C23" s="11">
        <v>640</v>
      </c>
      <c r="D23" s="11">
        <v>760</v>
      </c>
      <c r="E23" s="11">
        <v>940</v>
      </c>
      <c r="F23" s="11">
        <v>1180</v>
      </c>
      <c r="G23" s="2">
        <f>SUM(C23:F23)</f>
        <v>3520</v>
      </c>
    </row>
    <row r="24" spans="1:7" x14ac:dyDescent="0.15">
      <c r="B24" s="2" t="s">
        <v>13</v>
      </c>
      <c r="C24" s="2">
        <f>SUM(C20:C23)</f>
        <v>5940</v>
      </c>
      <c r="D24" s="2">
        <f>SUM(D20:D23)</f>
        <v>6420</v>
      </c>
      <c r="E24" s="2">
        <f>SUM(E20:E23)</f>
        <v>7140</v>
      </c>
      <c r="F24" s="2">
        <f>SUM(F20:F23)</f>
        <v>8100</v>
      </c>
      <c r="G24" s="2">
        <f>SUM(G20:G23)</f>
        <v>27600</v>
      </c>
    </row>
    <row r="26" spans="1:7" ht="16" x14ac:dyDescent="0.15">
      <c r="A26" s="50" t="s">
        <v>18</v>
      </c>
      <c r="B26" s="49"/>
      <c r="C26" s="51"/>
      <c r="D26" s="51"/>
      <c r="E26" s="51"/>
      <c r="F26" s="51"/>
      <c r="G26" s="51"/>
    </row>
    <row r="28" spans="1:7" x14ac:dyDescent="0.15">
      <c r="B28" s="28" t="s">
        <v>19</v>
      </c>
      <c r="C28" s="28" t="s">
        <v>20</v>
      </c>
      <c r="D28" s="29" t="s">
        <v>21</v>
      </c>
      <c r="E28" s="29" t="s">
        <v>22</v>
      </c>
      <c r="F28" s="29" t="s">
        <v>23</v>
      </c>
      <c r="G28" s="29" t="s">
        <v>24</v>
      </c>
    </row>
    <row r="29" spans="1:7" x14ac:dyDescent="0.15">
      <c r="B29" s="4" t="s">
        <v>25</v>
      </c>
      <c r="C29" s="4" t="s">
        <v>26</v>
      </c>
      <c r="D29" s="11">
        <v>327.7</v>
      </c>
      <c r="E29" s="11">
        <v>430.1</v>
      </c>
      <c r="F29" s="11">
        <v>266.2</v>
      </c>
      <c r="G29" s="11">
        <v>307.2</v>
      </c>
    </row>
    <row r="30" spans="1:7" x14ac:dyDescent="0.15">
      <c r="B30" s="4" t="s">
        <v>27</v>
      </c>
      <c r="C30" s="4" t="s">
        <v>28</v>
      </c>
      <c r="D30" s="11">
        <v>665.6</v>
      </c>
      <c r="E30" s="11">
        <v>327.7</v>
      </c>
      <c r="F30" s="11">
        <v>430.1</v>
      </c>
      <c r="G30" s="11">
        <v>430.1</v>
      </c>
    </row>
    <row r="31" spans="1:7" x14ac:dyDescent="0.15">
      <c r="B31" s="4" t="s">
        <v>29</v>
      </c>
      <c r="C31" s="4" t="s">
        <v>30</v>
      </c>
      <c r="D31" s="11">
        <v>317.39999999999998</v>
      </c>
      <c r="E31" s="11">
        <v>225.3</v>
      </c>
      <c r="F31" s="11">
        <v>757.8</v>
      </c>
      <c r="G31" s="11">
        <v>583.70000000000005</v>
      </c>
    </row>
    <row r="32" spans="1:7" x14ac:dyDescent="0.15">
      <c r="B32" s="4" t="s">
        <v>31</v>
      </c>
      <c r="C32" s="4" t="s">
        <v>32</v>
      </c>
      <c r="D32" s="11">
        <v>665.9</v>
      </c>
      <c r="E32" s="11">
        <v>384.5</v>
      </c>
      <c r="F32" s="11">
        <v>583.70000000000005</v>
      </c>
      <c r="G32" s="11">
        <v>256</v>
      </c>
    </row>
    <row r="33" spans="2:7" x14ac:dyDescent="0.15">
      <c r="B33" s="4" t="s">
        <v>33</v>
      </c>
      <c r="C33" s="4" t="s">
        <v>28</v>
      </c>
      <c r="D33" s="11">
        <v>553</v>
      </c>
      <c r="E33" s="11">
        <v>460.8</v>
      </c>
      <c r="F33" s="11">
        <v>430.1</v>
      </c>
      <c r="G33" s="11">
        <v>430.1</v>
      </c>
    </row>
    <row r="34" spans="2:7" x14ac:dyDescent="0.15">
      <c r="B34" s="4" t="s">
        <v>34</v>
      </c>
      <c r="C34" s="4" t="s">
        <v>35</v>
      </c>
      <c r="D34" s="11">
        <v>327.7</v>
      </c>
      <c r="E34" s="11">
        <v>1003.5</v>
      </c>
      <c r="F34" s="11">
        <v>553</v>
      </c>
      <c r="G34" s="11">
        <v>553</v>
      </c>
    </row>
    <row r="35" spans="2:7" x14ac:dyDescent="0.15">
      <c r="B35" s="4" t="s">
        <v>36</v>
      </c>
      <c r="C35" s="4" t="s">
        <v>30</v>
      </c>
      <c r="D35" s="11">
        <v>327.7</v>
      </c>
      <c r="E35" s="11">
        <v>983</v>
      </c>
      <c r="F35" s="11">
        <v>583.70000000000005</v>
      </c>
      <c r="G35" s="11">
        <v>486.9</v>
      </c>
    </row>
    <row r="36" spans="2:7" x14ac:dyDescent="0.15">
      <c r="B36" s="4" t="s">
        <v>37</v>
      </c>
      <c r="C36" s="4" t="s">
        <v>38</v>
      </c>
      <c r="D36" s="11">
        <v>665.6</v>
      </c>
      <c r="E36" s="11">
        <v>583.70000000000005</v>
      </c>
      <c r="F36" s="11">
        <v>245.8</v>
      </c>
      <c r="G36" s="11">
        <v>256</v>
      </c>
    </row>
    <row r="37" spans="2:7" x14ac:dyDescent="0.15">
      <c r="B37" s="4" t="s">
        <v>39</v>
      </c>
      <c r="C37" s="4" t="s">
        <v>40</v>
      </c>
      <c r="D37" s="11">
        <v>266.2</v>
      </c>
      <c r="E37" s="11">
        <v>307.2</v>
      </c>
      <c r="F37" s="11">
        <v>583.70000000000005</v>
      </c>
      <c r="G37" s="11">
        <v>245.8</v>
      </c>
    </row>
    <row r="38" spans="2:7" x14ac:dyDescent="0.15">
      <c r="B38" s="4" t="s">
        <v>41</v>
      </c>
      <c r="C38" s="4" t="s">
        <v>42</v>
      </c>
      <c r="D38" s="11">
        <v>327.7</v>
      </c>
      <c r="E38" s="11">
        <v>215</v>
      </c>
      <c r="F38" s="11">
        <v>757.8</v>
      </c>
      <c r="G38" s="11">
        <v>583.70000000000005</v>
      </c>
    </row>
    <row r="39" spans="2:7" x14ac:dyDescent="0.15">
      <c r="B39" s="4" t="s">
        <v>43</v>
      </c>
      <c r="C39" s="4" t="s">
        <v>26</v>
      </c>
      <c r="D39" s="11">
        <v>553</v>
      </c>
      <c r="E39" s="11">
        <v>460.8</v>
      </c>
      <c r="F39" s="11">
        <v>51.2</v>
      </c>
      <c r="G39" s="11">
        <v>553</v>
      </c>
    </row>
    <row r="40" spans="2:7" x14ac:dyDescent="0.15">
      <c r="B40" s="4" t="s">
        <v>44</v>
      </c>
      <c r="C40" s="4" t="s">
        <v>26</v>
      </c>
      <c r="D40" s="11">
        <v>10.199999999999999</v>
      </c>
      <c r="E40" s="11">
        <v>768</v>
      </c>
      <c r="F40" s="11">
        <v>788.5</v>
      </c>
      <c r="G40" s="11">
        <v>215</v>
      </c>
    </row>
    <row r="41" spans="2:7" x14ac:dyDescent="0.15">
      <c r="B41" s="4" t="s">
        <v>45</v>
      </c>
      <c r="C41" s="4" t="s">
        <v>26</v>
      </c>
      <c r="D41" s="11">
        <v>553</v>
      </c>
      <c r="E41" s="11">
        <v>553</v>
      </c>
      <c r="F41" s="11">
        <v>0</v>
      </c>
      <c r="G41" s="11">
        <v>553</v>
      </c>
    </row>
    <row r="42" spans="2:7" x14ac:dyDescent="0.15">
      <c r="B42" s="4" t="s">
        <v>46</v>
      </c>
      <c r="C42" s="4" t="s">
        <v>47</v>
      </c>
      <c r="D42" s="11">
        <v>317.39999999999998</v>
      </c>
      <c r="E42" s="11">
        <v>225.3</v>
      </c>
      <c r="F42" s="11">
        <v>757.8</v>
      </c>
      <c r="G42" s="11">
        <v>583.70000000000005</v>
      </c>
    </row>
    <row r="43" spans="2:7" x14ac:dyDescent="0.15">
      <c r="B43" s="4" t="s">
        <v>48</v>
      </c>
      <c r="C43" s="4" t="s">
        <v>28</v>
      </c>
      <c r="D43" s="11">
        <v>276.8</v>
      </c>
      <c r="E43" s="11">
        <v>609.70000000000005</v>
      </c>
      <c r="F43" s="11">
        <v>56.8</v>
      </c>
      <c r="G43" s="11">
        <v>609.70000000000005</v>
      </c>
    </row>
    <row r="44" spans="2:7" x14ac:dyDescent="0.15">
      <c r="B44" s="4" t="s">
        <v>49</v>
      </c>
      <c r="C44" s="4" t="s">
        <v>50</v>
      </c>
      <c r="D44" s="11">
        <v>307.2</v>
      </c>
      <c r="E44" s="11">
        <v>307.2</v>
      </c>
      <c r="F44" s="11">
        <v>788.5</v>
      </c>
      <c r="G44" s="11">
        <v>245.8</v>
      </c>
    </row>
    <row r="45" spans="2:7" x14ac:dyDescent="0.15">
      <c r="B45" s="4" t="s">
        <v>51</v>
      </c>
      <c r="C45" s="4" t="s">
        <v>28</v>
      </c>
      <c r="D45" s="11">
        <v>256</v>
      </c>
      <c r="E45" s="11">
        <v>297</v>
      </c>
      <c r="F45" s="11">
        <v>583.70000000000005</v>
      </c>
      <c r="G45" s="11">
        <v>256</v>
      </c>
    </row>
    <row r="46" spans="2:7" x14ac:dyDescent="0.15">
      <c r="B46" s="4" t="s">
        <v>52</v>
      </c>
      <c r="C46" s="4" t="s">
        <v>53</v>
      </c>
      <c r="D46" s="11">
        <v>266.2</v>
      </c>
      <c r="E46" s="11">
        <v>307.2</v>
      </c>
      <c r="F46" s="11">
        <v>583.70000000000005</v>
      </c>
      <c r="G46" s="11">
        <v>245.8</v>
      </c>
    </row>
    <row r="47" spans="2:7" x14ac:dyDescent="0.15">
      <c r="B47" s="4" t="s">
        <v>54</v>
      </c>
      <c r="C47" s="4" t="s">
        <v>53</v>
      </c>
      <c r="D47" s="11">
        <v>276.5</v>
      </c>
      <c r="E47" s="11">
        <v>307.2</v>
      </c>
      <c r="F47" s="11">
        <v>583.70000000000005</v>
      </c>
      <c r="G47" s="11">
        <v>266.2</v>
      </c>
    </row>
    <row r="48" spans="2:7" x14ac:dyDescent="0.15">
      <c r="B48" s="4" t="s">
        <v>55</v>
      </c>
      <c r="C48" s="4" t="s">
        <v>47</v>
      </c>
      <c r="D48" s="11">
        <v>215</v>
      </c>
      <c r="E48" s="11">
        <v>245.8</v>
      </c>
      <c r="F48" s="11">
        <v>768</v>
      </c>
      <c r="G48" s="11">
        <v>245.8</v>
      </c>
    </row>
    <row r="49" spans="2:7" x14ac:dyDescent="0.15">
      <c r="B49" s="4" t="s">
        <v>56</v>
      </c>
      <c r="C49" s="4" t="s">
        <v>57</v>
      </c>
      <c r="D49" s="11">
        <v>328</v>
      </c>
      <c r="E49" s="11">
        <v>364</v>
      </c>
      <c r="F49" s="11">
        <v>640.5</v>
      </c>
      <c r="G49" s="11">
        <v>323</v>
      </c>
    </row>
    <row r="50" spans="2:7" x14ac:dyDescent="0.15">
      <c r="B50" s="4" t="s">
        <v>58</v>
      </c>
      <c r="C50" s="4" t="s">
        <v>26</v>
      </c>
      <c r="D50" s="11">
        <v>600</v>
      </c>
      <c r="E50" s="11">
        <v>500.2</v>
      </c>
      <c r="F50" s="11">
        <v>722.8</v>
      </c>
      <c r="G50" s="11">
        <v>600</v>
      </c>
    </row>
    <row r="51" spans="2:7" x14ac:dyDescent="0.15">
      <c r="B51" s="4" t="s">
        <v>59</v>
      </c>
      <c r="C51" s="4" t="s">
        <v>28</v>
      </c>
      <c r="D51" s="11">
        <v>401.2</v>
      </c>
      <c r="E51" s="11">
        <v>351.3</v>
      </c>
      <c r="F51" s="11">
        <v>462.6</v>
      </c>
      <c r="G51" s="11">
        <v>401.2</v>
      </c>
    </row>
    <row r="52" spans="2:7" x14ac:dyDescent="0.15">
      <c r="B52" s="4" t="s">
        <v>60</v>
      </c>
      <c r="C52" s="4" t="s">
        <v>35</v>
      </c>
      <c r="D52" s="11">
        <v>301.8</v>
      </c>
      <c r="E52" s="11">
        <v>276.89999999999998</v>
      </c>
      <c r="F52" s="11">
        <v>332.5</v>
      </c>
      <c r="G52" s="11">
        <v>301.8</v>
      </c>
    </row>
    <row r="53" spans="2:7" x14ac:dyDescent="0.15">
      <c r="B53" s="4" t="s">
        <v>61</v>
      </c>
      <c r="C53" s="4" t="s">
        <v>28</v>
      </c>
      <c r="D53" s="11">
        <v>252.1</v>
      </c>
      <c r="E53" s="11">
        <v>239.6</v>
      </c>
      <c r="F53" s="11">
        <v>267.5</v>
      </c>
      <c r="G53" s="11">
        <v>252.1</v>
      </c>
    </row>
    <row r="54" spans="2:7" x14ac:dyDescent="0.15">
      <c r="B54" s="4" t="s">
        <v>62</v>
      </c>
      <c r="C54" s="4" t="s">
        <v>26</v>
      </c>
      <c r="D54" s="11">
        <v>227.3</v>
      </c>
      <c r="E54" s="11">
        <v>221</v>
      </c>
      <c r="F54" s="11">
        <v>234.9</v>
      </c>
      <c r="G54" s="11">
        <v>227.3</v>
      </c>
    </row>
    <row r="55" spans="2:7" x14ac:dyDescent="0.15">
      <c r="B55" s="4" t="s">
        <v>63</v>
      </c>
      <c r="C55" s="4" t="s">
        <v>64</v>
      </c>
      <c r="D55" s="11">
        <v>214.8</v>
      </c>
      <c r="E55" s="11">
        <v>211.7</v>
      </c>
      <c r="F55" s="11">
        <v>218.7</v>
      </c>
      <c r="G55" s="11">
        <v>214.8</v>
      </c>
    </row>
    <row r="56" spans="2:7" x14ac:dyDescent="0.15">
      <c r="B56" s="4" t="s">
        <v>65</v>
      </c>
      <c r="C56" s="4" t="s">
        <v>47</v>
      </c>
      <c r="D56" s="11">
        <v>428.8</v>
      </c>
      <c r="E56" s="11">
        <v>427.3</v>
      </c>
      <c r="F56" s="11">
        <v>430.7</v>
      </c>
      <c r="G56" s="11">
        <v>428.8</v>
      </c>
    </row>
    <row r="57" spans="2:7" x14ac:dyDescent="0.15">
      <c r="B57" s="4" t="s">
        <v>66</v>
      </c>
      <c r="C57" s="4" t="s">
        <v>28</v>
      </c>
      <c r="D57" s="11">
        <v>535.79999999999995</v>
      </c>
      <c r="E57" s="11">
        <v>535</v>
      </c>
      <c r="F57" s="11">
        <v>536.79999999999995</v>
      </c>
      <c r="G57" s="11">
        <v>535.79999999999995</v>
      </c>
    </row>
    <row r="58" spans="2:7" x14ac:dyDescent="0.15">
      <c r="B58" s="4" t="s">
        <v>67</v>
      </c>
      <c r="C58" s="4" t="s">
        <v>26</v>
      </c>
      <c r="D58" s="11">
        <v>589.29999999999995</v>
      </c>
      <c r="E58" s="11">
        <v>588.9</v>
      </c>
      <c r="F58" s="11">
        <v>589.79999999999995</v>
      </c>
      <c r="G58" s="11">
        <v>589.29999999999995</v>
      </c>
    </row>
    <row r="59" spans="2:7" x14ac:dyDescent="0.15">
      <c r="B59" s="4" t="s">
        <v>68</v>
      </c>
      <c r="C59" s="4" t="s">
        <v>26</v>
      </c>
      <c r="D59" s="11">
        <v>616.1</v>
      </c>
      <c r="E59" s="11">
        <v>615.9</v>
      </c>
      <c r="F59" s="11">
        <v>616.29999999999995</v>
      </c>
      <c r="G59" s="11">
        <v>616.1</v>
      </c>
    </row>
    <row r="60" spans="2:7" x14ac:dyDescent="0.15">
      <c r="B60" s="4" t="s">
        <v>69</v>
      </c>
      <c r="C60" s="4" t="s">
        <v>35</v>
      </c>
      <c r="D60" s="11">
        <v>397.6</v>
      </c>
      <c r="E60" s="11">
        <v>397.5</v>
      </c>
      <c r="F60" s="11">
        <v>397.7</v>
      </c>
      <c r="G60" s="11">
        <v>397.6</v>
      </c>
    </row>
    <row r="61" spans="2:7" x14ac:dyDescent="0.15">
      <c r="B61" s="4" t="s">
        <v>70</v>
      </c>
      <c r="C61" s="4" t="s">
        <v>47</v>
      </c>
      <c r="D61" s="11">
        <v>520.20000000000005</v>
      </c>
      <c r="E61" s="11">
        <v>520.20000000000005</v>
      </c>
      <c r="F61" s="11">
        <v>520.29999999999995</v>
      </c>
      <c r="G61" s="11">
        <v>520.20000000000005</v>
      </c>
    </row>
    <row r="62" spans="2:7" x14ac:dyDescent="0.15">
      <c r="B62" s="4" t="s">
        <v>71</v>
      </c>
      <c r="C62" s="4" t="s">
        <v>50</v>
      </c>
      <c r="D62" s="11">
        <v>581.5</v>
      </c>
      <c r="E62" s="11">
        <v>581.5</v>
      </c>
      <c r="F62" s="11">
        <v>581.5</v>
      </c>
      <c r="G62" s="11">
        <v>581.5</v>
      </c>
    </row>
    <row r="63" spans="2:7" x14ac:dyDescent="0.15">
      <c r="B63" s="4" t="s">
        <v>72</v>
      </c>
      <c r="C63" s="4" t="s">
        <v>73</v>
      </c>
      <c r="D63" s="11">
        <v>612.20000000000005</v>
      </c>
      <c r="E63" s="11">
        <v>612.1</v>
      </c>
      <c r="F63" s="11">
        <v>612.20000000000005</v>
      </c>
      <c r="G63" s="11">
        <v>612.20000000000005</v>
      </c>
    </row>
    <row r="64" spans="2:7" x14ac:dyDescent="0.15">
      <c r="B64" s="4" t="s">
        <v>74</v>
      </c>
      <c r="C64" s="4" t="s">
        <v>47</v>
      </c>
      <c r="D64" s="11">
        <v>627.5</v>
      </c>
      <c r="E64" s="11">
        <v>627.5</v>
      </c>
      <c r="F64" s="11">
        <v>627.5</v>
      </c>
      <c r="G64" s="11">
        <v>627.5</v>
      </c>
    </row>
    <row r="65" spans="2:7" x14ac:dyDescent="0.15">
      <c r="B65" s="4" t="s">
        <v>75</v>
      </c>
      <c r="C65" s="4" t="s">
        <v>53</v>
      </c>
      <c r="D65" s="11">
        <v>635.1</v>
      </c>
      <c r="E65" s="11">
        <v>635.1</v>
      </c>
      <c r="F65" s="11">
        <v>635.1</v>
      </c>
      <c r="G65" s="11">
        <v>635.1</v>
      </c>
    </row>
    <row r="66" spans="2:7" x14ac:dyDescent="0.15">
      <c r="B66" s="4" t="s">
        <v>76</v>
      </c>
      <c r="C66" s="4" t="s">
        <v>77</v>
      </c>
      <c r="D66" s="11">
        <v>418.8</v>
      </c>
      <c r="E66" s="11">
        <v>418.8</v>
      </c>
      <c r="F66" s="11">
        <v>418.8</v>
      </c>
      <c r="G66" s="11">
        <v>418.8</v>
      </c>
    </row>
    <row r="67" spans="2:7" x14ac:dyDescent="0.15">
      <c r="B67" s="4" t="s">
        <v>78</v>
      </c>
      <c r="C67" s="4" t="s">
        <v>50</v>
      </c>
      <c r="D67" s="11">
        <v>310.60000000000002</v>
      </c>
      <c r="E67" s="11">
        <v>310.60000000000002</v>
      </c>
      <c r="F67" s="11">
        <v>310.60000000000002</v>
      </c>
      <c r="G67" s="11">
        <v>310.60000000000002</v>
      </c>
    </row>
    <row r="68" spans="2:7" x14ac:dyDescent="0.15">
      <c r="B68" s="4" t="s">
        <v>79</v>
      </c>
      <c r="C68" s="4" t="s">
        <v>26</v>
      </c>
      <c r="D68" s="11">
        <v>607.70000000000005</v>
      </c>
      <c r="E68" s="11">
        <v>655.9</v>
      </c>
      <c r="F68" s="11">
        <v>456.5</v>
      </c>
      <c r="G68" s="11">
        <v>250.1</v>
      </c>
    </row>
    <row r="69" spans="2:7" x14ac:dyDescent="0.15">
      <c r="B69" s="4" t="s">
        <v>80</v>
      </c>
      <c r="C69" s="4" t="s">
        <v>47</v>
      </c>
      <c r="D69" s="11">
        <v>405</v>
      </c>
      <c r="E69" s="11">
        <v>429.1</v>
      </c>
      <c r="F69" s="11">
        <v>329.4</v>
      </c>
      <c r="G69" s="11">
        <v>226.2</v>
      </c>
    </row>
    <row r="70" spans="2:7" x14ac:dyDescent="0.15">
      <c r="B70" s="4" t="s">
        <v>81</v>
      </c>
      <c r="C70" s="4" t="s">
        <v>26</v>
      </c>
      <c r="D70" s="11">
        <v>303.7</v>
      </c>
      <c r="E70" s="11">
        <v>315.8</v>
      </c>
      <c r="F70" s="11">
        <v>265.89999999999998</v>
      </c>
      <c r="G70" s="11">
        <v>214.3</v>
      </c>
    </row>
    <row r="71" spans="2:7" x14ac:dyDescent="0.15">
      <c r="B71" s="4" t="s">
        <v>82</v>
      </c>
      <c r="C71" s="4" t="s">
        <v>47</v>
      </c>
      <c r="D71" s="11">
        <v>327.7</v>
      </c>
      <c r="E71" s="11">
        <v>215</v>
      </c>
      <c r="F71" s="11">
        <v>757.8</v>
      </c>
      <c r="G71" s="11">
        <v>583.70000000000005</v>
      </c>
    </row>
    <row r="72" spans="2:7" x14ac:dyDescent="0.15">
      <c r="B72" s="4" t="s">
        <v>83</v>
      </c>
      <c r="C72" s="4" t="s">
        <v>50</v>
      </c>
      <c r="D72" s="11">
        <v>1003.5</v>
      </c>
      <c r="E72" s="11">
        <v>553</v>
      </c>
      <c r="F72" s="11">
        <v>553</v>
      </c>
      <c r="G72" s="11">
        <v>553</v>
      </c>
    </row>
    <row r="73" spans="2:7" x14ac:dyDescent="0.15">
      <c r="B73" s="4" t="s">
        <v>84</v>
      </c>
      <c r="C73" s="4" t="s">
        <v>28</v>
      </c>
      <c r="D73" s="11">
        <v>665.6</v>
      </c>
      <c r="E73" s="11">
        <v>327.7</v>
      </c>
      <c r="F73" s="11">
        <v>430.1</v>
      </c>
      <c r="G73" s="11">
        <v>215</v>
      </c>
    </row>
    <row r="74" spans="2:7" x14ac:dyDescent="0.15">
      <c r="B74" s="4" t="s">
        <v>85</v>
      </c>
      <c r="C74" s="4" t="s">
        <v>53</v>
      </c>
      <c r="D74" s="11">
        <v>327.7</v>
      </c>
      <c r="E74" s="11">
        <v>665.6</v>
      </c>
      <c r="F74" s="11">
        <v>583.70000000000005</v>
      </c>
      <c r="G74" s="11">
        <v>1003.5</v>
      </c>
    </row>
    <row r="75" spans="2:7" x14ac:dyDescent="0.15">
      <c r="B75" s="4" t="s">
        <v>86</v>
      </c>
      <c r="C75" s="4" t="s">
        <v>30</v>
      </c>
      <c r="D75" s="11">
        <v>327.7</v>
      </c>
      <c r="E75" s="11">
        <v>430.1</v>
      </c>
      <c r="F75" s="11">
        <v>583.70000000000005</v>
      </c>
      <c r="G75" s="11">
        <v>665.6</v>
      </c>
    </row>
    <row r="76" spans="2:7" x14ac:dyDescent="0.15">
      <c r="B76" s="4" t="s">
        <v>87</v>
      </c>
      <c r="C76" s="4" t="s">
        <v>35</v>
      </c>
      <c r="D76" s="11">
        <v>328</v>
      </c>
      <c r="E76" s="11">
        <v>0</v>
      </c>
      <c r="F76" s="11">
        <v>0</v>
      </c>
      <c r="G76" s="11">
        <v>584</v>
      </c>
    </row>
    <row r="77" spans="2:7" x14ac:dyDescent="0.15">
      <c r="B77" s="4" t="s">
        <v>88</v>
      </c>
      <c r="C77" s="4" t="s">
        <v>77</v>
      </c>
      <c r="D77" s="11">
        <v>665.6</v>
      </c>
      <c r="E77" s="11">
        <v>593.9</v>
      </c>
      <c r="F77" s="11">
        <v>768</v>
      </c>
      <c r="G77" s="11">
        <v>51.2</v>
      </c>
    </row>
    <row r="78" spans="2:7" x14ac:dyDescent="0.15">
      <c r="B78" s="4" t="s">
        <v>89</v>
      </c>
      <c r="C78" s="4" t="s">
        <v>32</v>
      </c>
      <c r="D78" s="11">
        <v>327.7</v>
      </c>
      <c r="E78" s="11">
        <v>983</v>
      </c>
      <c r="F78" s="11">
        <v>583.70000000000005</v>
      </c>
      <c r="G78" s="11">
        <v>81.900000000000006</v>
      </c>
    </row>
    <row r="79" spans="2:7" x14ac:dyDescent="0.15">
      <c r="B79" s="4" t="s">
        <v>90</v>
      </c>
      <c r="C79" s="4" t="s">
        <v>30</v>
      </c>
      <c r="D79" s="11">
        <v>307.5</v>
      </c>
      <c r="E79" s="11">
        <v>0</v>
      </c>
      <c r="F79" s="11">
        <v>256</v>
      </c>
      <c r="G79" s="11">
        <v>757.8</v>
      </c>
    </row>
    <row r="80" spans="2:7" x14ac:dyDescent="0.15">
      <c r="B80" s="4" t="s">
        <v>91</v>
      </c>
      <c r="C80" s="4" t="s">
        <v>92</v>
      </c>
      <c r="D80" s="11">
        <v>327.7</v>
      </c>
      <c r="E80" s="11">
        <v>256</v>
      </c>
      <c r="F80" s="11">
        <v>665.6</v>
      </c>
      <c r="G80" s="11">
        <v>583.70000000000005</v>
      </c>
    </row>
    <row r="81" spans="1:13" x14ac:dyDescent="0.15">
      <c r="B81" s="4" t="s">
        <v>93</v>
      </c>
      <c r="C81" s="4" t="s">
        <v>94</v>
      </c>
      <c r="D81" s="11">
        <v>276.8</v>
      </c>
      <c r="E81" s="11">
        <v>1003.5</v>
      </c>
      <c r="F81" s="11">
        <v>1003.5</v>
      </c>
      <c r="G81" s="11">
        <v>1003.5</v>
      </c>
    </row>
    <row r="82" spans="1:13" x14ac:dyDescent="0.15">
      <c r="B82" s="4" t="s">
        <v>95</v>
      </c>
      <c r="C82" s="4" t="s">
        <v>30</v>
      </c>
      <c r="D82" s="11">
        <v>327.7</v>
      </c>
      <c r="E82" s="11">
        <v>327.7</v>
      </c>
      <c r="F82" s="11">
        <v>583.70000000000005</v>
      </c>
      <c r="G82" s="11">
        <v>327.7</v>
      </c>
    </row>
    <row r="83" spans="1:13" x14ac:dyDescent="0.15">
      <c r="B83" s="4" t="s">
        <v>96</v>
      </c>
      <c r="C83" s="4" t="s">
        <v>35</v>
      </c>
      <c r="D83" s="11">
        <v>307.2</v>
      </c>
      <c r="E83" s="11">
        <v>317.39999999999998</v>
      </c>
      <c r="F83" s="11">
        <v>51.2</v>
      </c>
      <c r="G83" s="11">
        <v>266.2</v>
      </c>
    </row>
    <row r="84" spans="1:13" x14ac:dyDescent="0.15">
      <c r="B84" s="4" t="s">
        <v>97</v>
      </c>
      <c r="C84" s="4" t="s">
        <v>77</v>
      </c>
      <c r="D84" s="11">
        <v>307.2</v>
      </c>
      <c r="E84" s="11">
        <v>307.2</v>
      </c>
      <c r="F84" s="11">
        <v>788.5</v>
      </c>
      <c r="G84" s="11">
        <v>245.8</v>
      </c>
    </row>
    <row r="85" spans="1:13" x14ac:dyDescent="0.15">
      <c r="B85" s="4" t="s">
        <v>98</v>
      </c>
      <c r="C85" s="4" t="s">
        <v>30</v>
      </c>
      <c r="D85" s="11">
        <v>276.5</v>
      </c>
      <c r="E85" s="11">
        <v>307.2</v>
      </c>
      <c r="F85" s="11">
        <v>583.70000000000005</v>
      </c>
      <c r="G85" s="11">
        <v>266.2</v>
      </c>
    </row>
    <row r="86" spans="1:13" x14ac:dyDescent="0.15">
      <c r="B86" s="4" t="s">
        <v>99</v>
      </c>
      <c r="C86" s="4" t="s">
        <v>30</v>
      </c>
      <c r="D86" s="11">
        <v>0</v>
      </c>
      <c r="E86" s="11">
        <v>364</v>
      </c>
      <c r="F86" s="11">
        <v>845.3</v>
      </c>
      <c r="G86" s="11">
        <v>302.5</v>
      </c>
    </row>
    <row r="87" spans="1:13" x14ac:dyDescent="0.15">
      <c r="B87" s="4" t="s">
        <v>100</v>
      </c>
      <c r="C87" s="4" t="s">
        <v>35</v>
      </c>
      <c r="D87" s="11">
        <v>235.5</v>
      </c>
      <c r="E87" s="11">
        <v>983</v>
      </c>
      <c r="F87" s="11">
        <v>583.70000000000005</v>
      </c>
      <c r="G87" s="11">
        <v>256</v>
      </c>
    </row>
    <row r="90" spans="1:13" ht="16" x14ac:dyDescent="0.15">
      <c r="A90" s="50" t="s">
        <v>101</v>
      </c>
      <c r="B90" s="49"/>
      <c r="C90" s="52" t="s">
        <v>0</v>
      </c>
      <c r="D90" s="52" t="s">
        <v>1</v>
      </c>
      <c r="E90" s="52" t="s">
        <v>1</v>
      </c>
      <c r="F90" s="52" t="s">
        <v>1</v>
      </c>
      <c r="G90" s="52" t="s">
        <v>1</v>
      </c>
      <c r="H90" s="52" t="s">
        <v>1</v>
      </c>
      <c r="I90" s="52" t="s">
        <v>1</v>
      </c>
      <c r="J90" s="52" t="s">
        <v>1</v>
      </c>
      <c r="K90" s="52" t="s">
        <v>1</v>
      </c>
      <c r="L90" s="52" t="s">
        <v>1</v>
      </c>
      <c r="M90" s="52" t="s">
        <v>1</v>
      </c>
    </row>
    <row r="91" spans="1:13" ht="16" x14ac:dyDescent="0.15">
      <c r="A91" s="50" t="s">
        <v>102</v>
      </c>
      <c r="B91" s="49"/>
      <c r="C91" s="52" t="s">
        <v>103</v>
      </c>
      <c r="D91" s="52" t="s">
        <v>104</v>
      </c>
      <c r="E91" s="52" t="s">
        <v>105</v>
      </c>
      <c r="F91" s="52" t="s">
        <v>106</v>
      </c>
      <c r="G91" s="52" t="s">
        <v>107</v>
      </c>
      <c r="H91" s="52" t="s">
        <v>108</v>
      </c>
      <c r="I91" s="52" t="s">
        <v>109</v>
      </c>
      <c r="J91" s="52" t="s">
        <v>110</v>
      </c>
      <c r="K91" s="52" t="s">
        <v>111</v>
      </c>
      <c r="L91" s="52" t="s">
        <v>112</v>
      </c>
      <c r="M91" s="52" t="s">
        <v>113</v>
      </c>
    </row>
    <row r="92" spans="1:13" x14ac:dyDescent="0.15">
      <c r="A92" s="28" t="s">
        <v>114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4"/>
      <c r="B93" s="4" t="s">
        <v>115</v>
      </c>
      <c r="C93" s="4">
        <v>820</v>
      </c>
      <c r="D93" s="4">
        <v>877.4</v>
      </c>
      <c r="E93" s="4">
        <v>938.8180000000001</v>
      </c>
      <c r="F93" s="4">
        <v>995.14708000000019</v>
      </c>
      <c r="G93" s="4">
        <v>1054.8559048000002</v>
      </c>
      <c r="H93" s="4">
        <v>1107.5987000400003</v>
      </c>
      <c r="I93" s="4">
        <v>1162.9786350420004</v>
      </c>
      <c r="J93" s="4">
        <v>1221.1275667941004</v>
      </c>
      <c r="K93" s="4">
        <v>1282.1839451338055</v>
      </c>
      <c r="L93" s="4">
        <v>1346.2931423904959</v>
      </c>
      <c r="M93" s="4">
        <v>1413.6077995100206</v>
      </c>
    </row>
    <row r="94" spans="1:13" x14ac:dyDescent="0.15">
      <c r="A94" s="4"/>
      <c r="B94" s="4" t="s">
        <v>116</v>
      </c>
      <c r="C94" s="3">
        <v>7.0999999999999994E-2</v>
      </c>
      <c r="D94" s="22">
        <v>7.0000000000000062E-2</v>
      </c>
      <c r="E94" s="22">
        <v>7.0000000000000062E-2</v>
      </c>
      <c r="F94" s="22">
        <v>6.0000000000000053E-2</v>
      </c>
      <c r="G94" s="22">
        <v>6.0000000000000053E-2</v>
      </c>
      <c r="H94" s="22">
        <v>0.05</v>
      </c>
      <c r="I94" s="22">
        <v>0.05</v>
      </c>
      <c r="J94" s="22">
        <v>0.05</v>
      </c>
      <c r="K94" s="22">
        <v>0.05</v>
      </c>
      <c r="L94" s="22">
        <v>0.05</v>
      </c>
      <c r="M94" s="22">
        <v>0.05</v>
      </c>
    </row>
    <row r="95" spans="1:13" x14ac:dyDescent="0.15">
      <c r="A95" s="4"/>
      <c r="B95" s="4" t="s">
        <v>117</v>
      </c>
      <c r="C95" s="4">
        <v>47.9</v>
      </c>
      <c r="D95" s="4">
        <v>51.380551999999987</v>
      </c>
      <c r="E95" s="4">
        <v>55.153009371999971</v>
      </c>
      <c r="F95" s="4">
        <v>59.991540540185525</v>
      </c>
      <c r="G95" s="4">
        <v>64.155894913073979</v>
      </c>
      <c r="H95" s="4">
        <v>68.865475039799819</v>
      </c>
      <c r="I95" s="4">
        <v>72.968011002011252</v>
      </c>
      <c r="J95" s="4">
        <v>77.650944876910003</v>
      </c>
      <c r="K95" s="4">
        <v>82.24576668037038</v>
      </c>
      <c r="L95" s="4">
        <v>87.100300906635653</v>
      </c>
      <c r="M95" s="4">
        <v>92.229937916424561</v>
      </c>
    </row>
    <row r="96" spans="1:13" x14ac:dyDescent="0.15">
      <c r="A96" s="4"/>
      <c r="B96" s="4" t="s">
        <v>118</v>
      </c>
      <c r="C96" s="4">
        <v>38.799999999999997</v>
      </c>
      <c r="D96" s="4">
        <v>40.577600000000004</v>
      </c>
      <c r="E96" s="4">
        <v>42.716202731999957</v>
      </c>
      <c r="F96" s="4">
        <v>44.778171021785539</v>
      </c>
      <c r="G96" s="4">
        <v>46.908625943569987</v>
      </c>
      <c r="H96" s="4">
        <v>48.576007751404617</v>
      </c>
      <c r="I96" s="4">
        <v>50.505675540556318</v>
      </c>
      <c r="J96" s="4">
        <v>52.99976941843348</v>
      </c>
      <c r="K96" s="4">
        <v>55.381567082937195</v>
      </c>
      <c r="L96" s="4">
        <v>57.990863192580491</v>
      </c>
      <c r="M96" s="4">
        <v>60.835162430856357</v>
      </c>
    </row>
    <row r="97" spans="1: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28" t="s">
        <v>119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4"/>
      <c r="B99" s="4" t="s">
        <v>120</v>
      </c>
      <c r="C99" s="4">
        <v>248.6</v>
      </c>
      <c r="D99" s="4">
        <v>264.88800000000003</v>
      </c>
      <c r="E99" s="4">
        <v>282.30255999999997</v>
      </c>
      <c r="F99" s="4">
        <v>298.02212959999997</v>
      </c>
      <c r="G99" s="4">
        <v>314.78236009600005</v>
      </c>
      <c r="H99" s="4">
        <v>329.26235330880002</v>
      </c>
      <c r="I99" s="4">
        <v>344.56707616560004</v>
      </c>
      <c r="J99" s="4">
        <v>360.72970674993127</v>
      </c>
      <c r="K99" s="4">
        <v>377.78572672139501</v>
      </c>
      <c r="L99" s="4">
        <v>395.77298492071441</v>
      </c>
      <c r="M99" s="4">
        <v>414.73176828093995</v>
      </c>
    </row>
    <row r="100" spans="1:13" x14ac:dyDescent="0.15">
      <c r="A100" s="4"/>
      <c r="B100" s="4" t="s">
        <v>121</v>
      </c>
      <c r="C100" s="4">
        <v>60</v>
      </c>
      <c r="D100" s="4">
        <v>63.086000000000013</v>
      </c>
      <c r="E100" s="4">
        <v>66.37441999999993</v>
      </c>
      <c r="F100" s="4">
        <v>69.138301199999916</v>
      </c>
      <c r="G100" s="4">
        <v>72.165501992000003</v>
      </c>
      <c r="H100" s="4">
        <v>74.514652299599931</v>
      </c>
      <c r="I100" s="4">
        <v>77.081990105939951</v>
      </c>
      <c r="J100" s="4">
        <v>79.870366387288186</v>
      </c>
      <c r="K100" s="4">
        <v>82.883419340619696</v>
      </c>
      <c r="L100" s="4">
        <v>86.125562170900366</v>
      </c>
      <c r="M100" s="4">
        <v>89.601974393635203</v>
      </c>
    </row>
    <row r="101" spans="1:13" x14ac:dyDescent="0.15">
      <c r="A101" s="4"/>
      <c r="B101" s="4" t="s">
        <v>122</v>
      </c>
      <c r="C101" s="23">
        <v>7.3170731707317041E-2</v>
      </c>
      <c r="D101" s="23">
        <v>7.1901071347162074E-2</v>
      </c>
      <c r="E101" s="23">
        <v>7.0699986578868237E-2</v>
      </c>
      <c r="F101" s="23">
        <v>6.9475460049583729E-2</v>
      </c>
      <c r="G101" s="23">
        <v>6.8412663439261431E-2</v>
      </c>
      <c r="H101" s="23">
        <v>6.7275857489638505E-2</v>
      </c>
      <c r="I101" s="23">
        <v>6.6279798943302312E-2</v>
      </c>
      <c r="J101" s="23">
        <v>6.5407061931274435E-2</v>
      </c>
      <c r="K101" s="23">
        <v>6.4642378073116638E-2</v>
      </c>
      <c r="L101" s="23">
        <v>6.3972369359302159E-2</v>
      </c>
      <c r="M101" s="23">
        <v>6.3385314105293342E-2</v>
      </c>
    </row>
    <row r="102" spans="1:13" x14ac:dyDescent="0.15">
      <c r="A102" s="4"/>
      <c r="B102" s="4" t="s">
        <v>123</v>
      </c>
      <c r="C102" s="23">
        <v>4.7317073170731666E-2</v>
      </c>
      <c r="D102" s="23">
        <v>4.6247549578299518E-2</v>
      </c>
      <c r="E102" s="23">
        <v>4.5499982671827713E-2</v>
      </c>
      <c r="F102" s="23">
        <v>4.4996535609374978E-2</v>
      </c>
      <c r="G102" s="23">
        <v>4.4469226299172895E-2</v>
      </c>
      <c r="H102" s="23">
        <v>4.385704655454211E-2</v>
      </c>
      <c r="I102" s="23">
        <v>4.3427861887361613E-2</v>
      </c>
      <c r="J102" s="23">
        <v>4.3402320002960022E-2</v>
      </c>
      <c r="K102" s="23">
        <v>4.3193152817989557E-2</v>
      </c>
      <c r="L102" s="23">
        <v>4.3074469717353792E-2</v>
      </c>
      <c r="M102" s="23">
        <v>4.303538962641746E-2</v>
      </c>
    </row>
    <row r="103" spans="1:13" x14ac:dyDescent="0.15">
      <c r="A103" s="4"/>
      <c r="B103" s="4" t="s">
        <v>124</v>
      </c>
      <c r="C103" s="24" t="s">
        <v>125</v>
      </c>
      <c r="D103" s="23">
        <v>0.11625725266981177</v>
      </c>
      <c r="E103" s="23">
        <v>0.1106953392591668</v>
      </c>
      <c r="F103" s="23">
        <v>0.10711473529979454</v>
      </c>
      <c r="G103" s="23">
        <v>0.10291516255778292</v>
      </c>
      <c r="H103" s="23">
        <v>9.8241210350419828E-2</v>
      </c>
      <c r="I103" s="23">
        <v>9.4743128310314131E-2</v>
      </c>
      <c r="J103" s="23">
        <v>9.2572333751621813E-2</v>
      </c>
      <c r="K103" s="23">
        <v>9.0357737073915645E-2</v>
      </c>
      <c r="L103" s="23">
        <v>8.8618935507989674E-2</v>
      </c>
      <c r="M103" s="23">
        <v>8.7273652510396163E-2</v>
      </c>
    </row>
    <row r="104" spans="1:13" x14ac:dyDescent="0.15">
      <c r="A104" s="4"/>
      <c r="B104" s="4" t="s">
        <v>126</v>
      </c>
      <c r="C104" s="25">
        <v>3.18</v>
      </c>
      <c r="D104" s="25">
        <v>3.3260327868852464</v>
      </c>
      <c r="E104" s="25">
        <v>3.5013280927868817</v>
      </c>
      <c r="F104" s="25">
        <v>3.6703418870316016</v>
      </c>
      <c r="G104" s="25">
        <v>3.8449693396368843</v>
      </c>
      <c r="H104" s="25">
        <v>3.9816399796233295</v>
      </c>
      <c r="I104" s="25">
        <v>4.1398094705374033</v>
      </c>
      <c r="J104" s="25">
        <v>4.3442433949535646</v>
      </c>
      <c r="K104" s="25">
        <v>4.5394727117161642</v>
      </c>
      <c r="L104" s="25">
        <v>4.7533494420147946</v>
      </c>
      <c r="M104" s="25">
        <v>4.9864887238406856</v>
      </c>
    </row>
    <row r="105" spans="1: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15">
      <c r="A106" s="28" t="s">
        <v>127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15">
      <c r="A107" s="4"/>
      <c r="B107" s="4" t="s">
        <v>128</v>
      </c>
      <c r="C107" s="23">
        <v>0.33816425120772947</v>
      </c>
      <c r="D107" s="23">
        <v>0.33408212273108123</v>
      </c>
      <c r="E107" s="23">
        <v>0.2558151888767255</v>
      </c>
      <c r="F107" s="23">
        <v>0.21734011832980005</v>
      </c>
      <c r="G107" s="23">
        <v>0.18798008602495592</v>
      </c>
      <c r="H107" s="23">
        <v>0.15927584475716991</v>
      </c>
      <c r="I107" s="23">
        <v>0.13310947292395311</v>
      </c>
      <c r="J107" s="23">
        <v>0.10827550590418523</v>
      </c>
      <c r="K107" s="23">
        <v>8.5159575314746952E-2</v>
      </c>
      <c r="L107" s="23">
        <v>6.3458841684145895E-2</v>
      </c>
      <c r="M107" s="23">
        <v>4.294795968236742E-2</v>
      </c>
    </row>
    <row r="108" spans="1:13" x14ac:dyDescent="0.15">
      <c r="A108" s="4"/>
      <c r="B108" s="4" t="s">
        <v>129</v>
      </c>
      <c r="C108" s="4">
        <v>60</v>
      </c>
      <c r="D108" s="4">
        <v>63.086000000000013</v>
      </c>
      <c r="E108" s="4">
        <v>66.37441999999993</v>
      </c>
      <c r="F108" s="4">
        <v>69.138301199999916</v>
      </c>
      <c r="G108" s="4">
        <v>72.165501992000003</v>
      </c>
      <c r="H108" s="4">
        <v>74.514652299599931</v>
      </c>
      <c r="I108" s="4">
        <v>77.081990105939951</v>
      </c>
      <c r="J108" s="4">
        <v>79.870366387288186</v>
      </c>
      <c r="K108" s="4">
        <v>82.883419340619696</v>
      </c>
      <c r="L108" s="4">
        <v>86.125562170900366</v>
      </c>
      <c r="M108" s="4">
        <v>89.601974393635203</v>
      </c>
    </row>
    <row r="109" spans="1:13" x14ac:dyDescent="0.15">
      <c r="A109" s="4"/>
      <c r="B109" s="4" t="s">
        <v>130</v>
      </c>
      <c r="C109" s="11">
        <v>11.764705882352937</v>
      </c>
      <c r="D109" s="11">
        <v>12.016380952380954</v>
      </c>
      <c r="E109" s="11">
        <v>11.062403333333322</v>
      </c>
      <c r="F109" s="11">
        <v>13.169200228571412</v>
      </c>
      <c r="G109" s="11">
        <v>14.004073791056344</v>
      </c>
      <c r="H109" s="11">
        <v>14.552632551925051</v>
      </c>
      <c r="I109" s="11">
        <v>15.632041888971393</v>
      </c>
      <c r="J109" s="11">
        <v>19.216190159646235</v>
      </c>
      <c r="K109" s="11">
        <v>22.003114166839286</v>
      </c>
      <c r="L109" s="11">
        <v>26.246015479065235</v>
      </c>
      <c r="M109" s="11">
        <v>33.252427548494637</v>
      </c>
    </row>
    <row r="110" spans="1:13" x14ac:dyDescent="0.15">
      <c r="A110" s="4"/>
      <c r="B110" s="4"/>
    </row>
    <row r="111" spans="1:13" x14ac:dyDescent="0.15">
      <c r="A111" s="28" t="s">
        <v>131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15">
      <c r="A112" s="4"/>
      <c r="B112" s="4" t="s">
        <v>132</v>
      </c>
      <c r="C112" s="4">
        <v>41</v>
      </c>
      <c r="D112" s="4">
        <v>43.87</v>
      </c>
      <c r="E112" s="4">
        <v>46.940900000000006</v>
      </c>
      <c r="F112" s="4">
        <v>49.757354000000014</v>
      </c>
      <c r="G112" s="4">
        <v>52.742795240000014</v>
      </c>
      <c r="H112" s="4">
        <v>55.379935002000018</v>
      </c>
      <c r="I112" s="4">
        <v>58.148931752100026</v>
      </c>
      <c r="J112" s="4">
        <v>61.05637833970502</v>
      </c>
      <c r="K112" s="4">
        <v>64.10919725669028</v>
      </c>
      <c r="L112" s="4">
        <v>67.314657119524796</v>
      </c>
      <c r="M112" s="4">
        <v>70.680389975501029</v>
      </c>
    </row>
    <row r="113" spans="1:13" x14ac:dyDescent="0.15">
      <c r="A113" s="4"/>
      <c r="B113" s="4" t="s">
        <v>301</v>
      </c>
      <c r="C113" s="23">
        <v>0.05</v>
      </c>
      <c r="D113" s="23">
        <v>0.05</v>
      </c>
      <c r="E113" s="23">
        <v>0.05</v>
      </c>
      <c r="F113" s="23">
        <v>0.05</v>
      </c>
      <c r="G113" s="23">
        <v>0.05</v>
      </c>
      <c r="H113" s="23">
        <v>0.05</v>
      </c>
      <c r="I113" s="23">
        <v>0.05</v>
      </c>
      <c r="J113" s="23">
        <v>0.05</v>
      </c>
      <c r="K113" s="23">
        <v>0.05</v>
      </c>
      <c r="L113" s="23">
        <v>0.05</v>
      </c>
      <c r="M113" s="23">
        <v>0.05</v>
      </c>
    </row>
    <row r="114" spans="1:13" x14ac:dyDescent="0.15">
      <c r="A114" s="4"/>
      <c r="B114" s="4" t="s">
        <v>133</v>
      </c>
      <c r="C114" s="23">
        <v>9.2804878048780487E-2</v>
      </c>
      <c r="D114" s="23">
        <v>9.2520000000000005E-2</v>
      </c>
      <c r="E114" s="23">
        <v>9.2519999999999991E-2</v>
      </c>
      <c r="F114" s="23">
        <v>9.2520000000000005E-2</v>
      </c>
      <c r="G114" s="23">
        <v>9.2520000000000005E-2</v>
      </c>
      <c r="H114" s="23">
        <v>9.2520000000000005E-2</v>
      </c>
      <c r="I114" s="23">
        <v>9.2520000000000019E-2</v>
      </c>
      <c r="J114" s="23">
        <v>9.2519999999999991E-2</v>
      </c>
      <c r="K114" s="23">
        <v>9.2520000000000019E-2</v>
      </c>
      <c r="L114" s="23">
        <v>9.2520000000000019E-2</v>
      </c>
      <c r="M114" s="23">
        <v>9.2519999999999977E-2</v>
      </c>
    </row>
    <row r="115" spans="1:13" x14ac:dyDescent="0.15">
      <c r="A115" s="4"/>
      <c r="B115" s="4" t="s">
        <v>302</v>
      </c>
      <c r="C115" s="23">
        <v>0.39768292682926831</v>
      </c>
      <c r="D115" s="23">
        <v>0.42394084340095733</v>
      </c>
      <c r="E115" s="23">
        <v>0.42586945638622176</v>
      </c>
      <c r="F115" s="23">
        <v>0.43839220942978591</v>
      </c>
      <c r="G115" s="23">
        <v>0.45061437044849345</v>
      </c>
      <c r="H115" s="23">
        <v>0.46368763886915615</v>
      </c>
      <c r="I115" s="23">
        <v>0.47514231215202252</v>
      </c>
      <c r="J115" s="23">
        <v>0.48517878779034351</v>
      </c>
      <c r="K115" s="23">
        <v>0.49397265215915809</v>
      </c>
      <c r="L115" s="23">
        <v>0.50167775236802425</v>
      </c>
      <c r="M115" s="23">
        <v>0.50842888778912587</v>
      </c>
    </row>
    <row r="117" spans="1:13" x14ac:dyDescent="0.15">
      <c r="A117" s="58" t="s">
        <v>292</v>
      </c>
      <c r="B117" s="58" t="s">
        <v>293</v>
      </c>
    </row>
    <row r="226" spans="59:64" ht="16" x14ac:dyDescent="0.15">
      <c r="BG226" s="26" t="s">
        <v>285</v>
      </c>
      <c r="BH226" s="26"/>
      <c r="BI226" s="26"/>
      <c r="BJ226" s="26"/>
      <c r="BK226" s="26"/>
      <c r="BL226" s="26"/>
    </row>
    <row r="227" spans="59:64" x14ac:dyDescent="0.15">
      <c r="BG227" s="11" t="s">
        <v>115</v>
      </c>
      <c r="BH227" s="11">
        <v>100</v>
      </c>
      <c r="BI227" s="11">
        <v>104</v>
      </c>
      <c r="BJ227" s="11">
        <v>110.2</v>
      </c>
      <c r="BK227" s="11">
        <v>113.5</v>
      </c>
      <c r="BL227" s="11">
        <v>112.4</v>
      </c>
    </row>
    <row r="228" spans="59:64" x14ac:dyDescent="0.15">
      <c r="BG228" s="11" t="s">
        <v>118</v>
      </c>
      <c r="BH228" s="11">
        <v>13.4</v>
      </c>
      <c r="BI228" s="11">
        <v>14.8</v>
      </c>
      <c r="BJ228" s="11">
        <v>18</v>
      </c>
      <c r="BK228" s="11">
        <v>19.100000000000001</v>
      </c>
      <c r="BL228" s="11">
        <v>13.2</v>
      </c>
    </row>
    <row r="229" spans="59:64" x14ac:dyDescent="0.15">
      <c r="BG229" s="11" t="s">
        <v>123</v>
      </c>
      <c r="BH229" s="23">
        <v>0.13400000000000001</v>
      </c>
      <c r="BI229" s="23">
        <v>0.14199999999999999</v>
      </c>
      <c r="BJ229" s="23">
        <v>0.16300000000000001</v>
      </c>
      <c r="BK229" s="23">
        <v>0.16800000000000001</v>
      </c>
      <c r="BL229" s="23">
        <v>0.11700000000000001</v>
      </c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9" scale="65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86"/>
  <sheetViews>
    <sheetView showGridLines="0" zoomScale="125" zoomScaleNormal="100" zoomScalePageLayoutView="75" workbookViewId="0">
      <pane ySplit="2" topLeftCell="A48" activePane="bottomLeft" state="frozen"/>
      <selection sqref="A1:XFD2"/>
      <selection pane="bottomLeft" activeCell="D82" sqref="D82"/>
    </sheetView>
  </sheetViews>
  <sheetFormatPr baseColWidth="10" defaultColWidth="9" defaultRowHeight="13" x14ac:dyDescent="0.15"/>
  <cols>
    <col min="1" max="1" width="1.5" style="11" customWidth="1"/>
    <col min="2" max="2" width="36.5" style="11" customWidth="1"/>
    <col min="3" max="16" width="11.5" style="11" customWidth="1"/>
    <col min="17" max="19" width="9" style="11"/>
    <col min="20" max="20" width="10.33203125" style="11" customWidth="1"/>
    <col min="21" max="16384" width="9" style="11"/>
  </cols>
  <sheetData>
    <row r="1" spans="1:16" s="16" customFormat="1" ht="18" x14ac:dyDescent="0.2">
      <c r="A1" s="37" t="s">
        <v>134</v>
      </c>
      <c r="B1" s="38"/>
      <c r="C1" s="38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s="16" customFormat="1" ht="19" thickBot="1" x14ac:dyDescent="0.25">
      <c r="A2" s="41" t="s">
        <v>136</v>
      </c>
      <c r="B2" s="42"/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ht="14" thickTop="1" x14ac:dyDescent="0.15"/>
    <row r="4" spans="1:16" ht="16" x14ac:dyDescent="0.15">
      <c r="A4" s="50" t="s">
        <v>137</v>
      </c>
      <c r="B4" s="49"/>
      <c r="C4" s="51"/>
      <c r="D4" s="51"/>
      <c r="E4" s="51"/>
      <c r="F4" s="51"/>
      <c r="G4" s="51"/>
      <c r="H4" s="4"/>
      <c r="I4" s="4"/>
      <c r="J4" s="4"/>
      <c r="K4" s="4"/>
      <c r="L4" s="4"/>
      <c r="M4" s="4"/>
      <c r="N4" s="4"/>
      <c r="O4" s="4"/>
      <c r="P4" s="4"/>
    </row>
    <row r="5" spans="1:16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15">
      <c r="A6" s="30" t="s">
        <v>138</v>
      </c>
      <c r="B6" s="28" t="s">
        <v>139</v>
      </c>
      <c r="C6" s="5"/>
      <c r="D6" s="5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15">
      <c r="A7" s="4"/>
      <c r="B7" s="4" t="s">
        <v>140</v>
      </c>
      <c r="C7" s="4">
        <v>2100</v>
      </c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15">
      <c r="A8" s="4"/>
      <c r="B8" s="4" t="s">
        <v>141</v>
      </c>
      <c r="C8" s="4">
        <v>244</v>
      </c>
      <c r="D8" s="4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15">
      <c r="A9" s="4"/>
      <c r="B9" s="4" t="s">
        <v>142</v>
      </c>
      <c r="C9" s="4">
        <v>980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15">
      <c r="A10" s="4"/>
      <c r="B10" s="4" t="s">
        <v>143</v>
      </c>
      <c r="C10" s="4">
        <v>462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15">
      <c r="A11" s="4"/>
      <c r="B11" s="4" t="s">
        <v>144</v>
      </c>
      <c r="C11" s="4">
        <v>140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15">
      <c r="A12" s="4"/>
      <c r="B12" s="4" t="s">
        <v>145</v>
      </c>
      <c r="C12" s="4">
        <v>390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s="2" customFormat="1" ht="16" x14ac:dyDescent="0.2">
      <c r="A13" s="71"/>
      <c r="B13" s="71" t="s">
        <v>13</v>
      </c>
      <c r="C13" s="72">
        <f>SUM(C7:C12)</f>
        <v>4316</v>
      </c>
      <c r="D13" s="71"/>
      <c r="E13" s="71"/>
      <c r="F13" s="71"/>
      <c r="G13" s="21" t="s">
        <v>146</v>
      </c>
      <c r="H13" s="73" t="s">
        <v>146</v>
      </c>
      <c r="I13" s="71"/>
      <c r="J13" s="71"/>
      <c r="K13" s="71"/>
      <c r="L13" s="71"/>
      <c r="M13" s="71"/>
      <c r="N13" s="71"/>
      <c r="O13" s="71"/>
      <c r="P13" s="71"/>
    </row>
    <row r="14" spans="1:16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15">
      <c r="A16" s="30" t="s">
        <v>147</v>
      </c>
      <c r="B16" s="28" t="s">
        <v>148</v>
      </c>
      <c r="C16" s="5"/>
      <c r="D16" s="5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15">
      <c r="A17" s="4"/>
      <c r="B17" s="4" t="s">
        <v>15</v>
      </c>
      <c r="C17" s="4">
        <v>630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15">
      <c r="A18" s="4"/>
      <c r="B18" s="4" t="s">
        <v>149</v>
      </c>
      <c r="C18" s="4">
        <v>125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15">
      <c r="A19" s="4"/>
      <c r="B19" s="4" t="s">
        <v>150</v>
      </c>
      <c r="C19" s="4">
        <v>98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15">
      <c r="A20" s="4"/>
      <c r="B20" s="4" t="s">
        <v>151</v>
      </c>
      <c r="C20" s="4">
        <v>22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15">
      <c r="A21" s="4"/>
      <c r="B21" s="4" t="s">
        <v>152</v>
      </c>
      <c r="C21" s="4">
        <v>15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s="2" customFormat="1" ht="16" x14ac:dyDescent="0.2">
      <c r="A22" s="71"/>
      <c r="B22" s="71" t="s">
        <v>13</v>
      </c>
      <c r="C22" s="72">
        <f>SUM(C17:C21)</f>
        <v>890</v>
      </c>
      <c r="D22" s="71"/>
      <c r="E22" s="71"/>
      <c r="F22" s="71"/>
      <c r="G22" s="21" t="s">
        <v>146</v>
      </c>
      <c r="H22" s="73" t="s">
        <v>146</v>
      </c>
      <c r="I22" s="71"/>
      <c r="J22" s="71"/>
      <c r="K22" s="71"/>
      <c r="L22" s="71"/>
      <c r="M22" s="71"/>
      <c r="N22" s="71"/>
      <c r="O22" s="71"/>
      <c r="P22" s="71"/>
    </row>
    <row r="23" spans="1:16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15">
      <c r="A25" s="30" t="s">
        <v>153</v>
      </c>
      <c r="B25" s="28" t="s">
        <v>154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15">
      <c r="A26" s="4"/>
      <c r="B26" s="28" t="s">
        <v>155</v>
      </c>
      <c r="C26" s="5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15">
      <c r="A27" s="4"/>
      <c r="B27" s="4" t="s">
        <v>156</v>
      </c>
      <c r="C27" s="4">
        <v>56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15">
      <c r="A28" s="4"/>
      <c r="B28" s="4" t="s">
        <v>157</v>
      </c>
      <c r="C28" s="4">
        <v>22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15">
      <c r="A29" s="4"/>
      <c r="B29" s="4" t="s">
        <v>158</v>
      </c>
      <c r="C29" s="4">
        <v>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15">
      <c r="A30" s="4"/>
      <c r="B30" s="4" t="s">
        <v>159</v>
      </c>
      <c r="C30" s="4">
        <v>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15">
      <c r="A31" s="4"/>
      <c r="B31" s="4" t="s">
        <v>160</v>
      </c>
      <c r="C31" s="4">
        <v>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15">
      <c r="A32" s="4"/>
      <c r="B32" s="4" t="s">
        <v>12</v>
      </c>
      <c r="C32" s="4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s="2" customFormat="1" ht="16" x14ac:dyDescent="0.2">
      <c r="A33" s="71"/>
      <c r="B33" s="71" t="s">
        <v>13</v>
      </c>
      <c r="C33" s="72">
        <f>SUM(C27:C32)</f>
        <v>93</v>
      </c>
      <c r="D33" s="71"/>
      <c r="E33" s="71"/>
      <c r="F33" s="71"/>
      <c r="G33" s="21" t="s">
        <v>146</v>
      </c>
      <c r="H33" s="73" t="s">
        <v>146</v>
      </c>
      <c r="I33" s="71"/>
      <c r="J33" s="71"/>
      <c r="K33" s="71"/>
      <c r="L33" s="71"/>
      <c r="M33" s="71"/>
      <c r="N33" s="71"/>
      <c r="O33" s="71"/>
      <c r="P33" s="71"/>
    </row>
    <row r="34" spans="1:16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15">
      <c r="A35" s="4"/>
      <c r="B35" s="28" t="s">
        <v>161</v>
      </c>
      <c r="C35" s="5"/>
      <c r="D35" s="5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15">
      <c r="A36" s="4"/>
      <c r="B36" s="4" t="s">
        <v>162</v>
      </c>
      <c r="C36" s="4">
        <v>1400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15">
      <c r="A37" s="4"/>
      <c r="B37" s="4" t="s">
        <v>163</v>
      </c>
      <c r="C37" s="4">
        <v>6550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15">
      <c r="A38" s="4"/>
      <c r="B38" s="4" t="s">
        <v>164</v>
      </c>
      <c r="C38" s="4">
        <v>9440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15">
      <c r="A39" s="4"/>
      <c r="B39" s="4" t="s">
        <v>165</v>
      </c>
      <c r="C39" s="4">
        <v>450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15">
      <c r="A40" s="4"/>
      <c r="B40" s="4" t="s">
        <v>166</v>
      </c>
      <c r="C40" s="4">
        <v>112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15">
      <c r="A41" s="4"/>
      <c r="B41" s="4" t="s">
        <v>12</v>
      </c>
      <c r="C41" s="4">
        <v>58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s="2" customFormat="1" ht="16" x14ac:dyDescent="0.2">
      <c r="A42" s="71"/>
      <c r="B42" s="71" t="s">
        <v>13</v>
      </c>
      <c r="C42" s="72">
        <f>SUM(C37:C41)</f>
        <v>16610</v>
      </c>
      <c r="D42" s="71"/>
      <c r="E42" s="71"/>
      <c r="F42" s="71"/>
      <c r="G42" s="21" t="s">
        <v>146</v>
      </c>
      <c r="H42" s="73" t="s">
        <v>146</v>
      </c>
      <c r="I42" s="71"/>
      <c r="J42" s="71"/>
      <c r="K42" s="71"/>
      <c r="L42" s="71"/>
      <c r="M42" s="71"/>
      <c r="N42" s="71"/>
      <c r="O42" s="71"/>
      <c r="P42" s="71"/>
    </row>
    <row r="43" spans="1:16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16" x14ac:dyDescent="0.15">
      <c r="A46" s="50" t="s">
        <v>167</v>
      </c>
      <c r="B46" s="49"/>
      <c r="C46" s="51"/>
      <c r="D46" s="51"/>
      <c r="E46" s="51"/>
      <c r="F46" s="51"/>
      <c r="G46" s="51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15">
      <c r="A48" s="30" t="s">
        <v>168</v>
      </c>
      <c r="B48" s="28" t="s">
        <v>169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15">
      <c r="A49" s="4"/>
      <c r="B49" s="28" t="s">
        <v>170</v>
      </c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15">
      <c r="A50" s="4"/>
      <c r="B50" s="4" t="s">
        <v>118</v>
      </c>
      <c r="C50" s="4">
        <v>100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15">
      <c r="A51" s="4"/>
      <c r="B51" s="4" t="s">
        <v>171</v>
      </c>
      <c r="C51" s="4">
        <v>12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15">
      <c r="A52" s="4"/>
      <c r="B52" s="4" t="s">
        <v>172</v>
      </c>
      <c r="C52" s="4">
        <v>-21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s="2" customFormat="1" ht="16" x14ac:dyDescent="0.2">
      <c r="A53" s="71"/>
      <c r="B53" s="74" t="s">
        <v>173</v>
      </c>
      <c r="C53" s="72">
        <f>SUM(C50:C52)</f>
        <v>91</v>
      </c>
      <c r="D53" s="71"/>
      <c r="E53" s="71"/>
      <c r="F53" s="71"/>
      <c r="G53" s="21" t="s">
        <v>146</v>
      </c>
      <c r="H53" s="73" t="s">
        <v>146</v>
      </c>
      <c r="I53" s="71"/>
      <c r="J53" s="71"/>
      <c r="K53" s="71"/>
      <c r="L53" s="71"/>
      <c r="M53" s="71"/>
      <c r="N53" s="71"/>
      <c r="O53" s="71"/>
      <c r="P53" s="71"/>
    </row>
    <row r="54" spans="1:16" x14ac:dyDescent="0.15">
      <c r="A54" s="4"/>
      <c r="B54" s="4" t="s">
        <v>132</v>
      </c>
      <c r="C54" s="4">
        <v>-26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15">
      <c r="A55" s="4"/>
      <c r="B55" s="4" t="s">
        <v>174</v>
      </c>
      <c r="C55" s="4">
        <v>-10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s="2" customFormat="1" ht="16" x14ac:dyDescent="0.2">
      <c r="A56" s="71"/>
      <c r="B56" s="74" t="s">
        <v>175</v>
      </c>
      <c r="C56" s="72">
        <f>SUM(C54:C55)</f>
        <v>-36</v>
      </c>
      <c r="D56" s="71"/>
      <c r="E56" s="71"/>
      <c r="F56" s="71"/>
      <c r="G56" s="21" t="s">
        <v>146</v>
      </c>
      <c r="H56" s="73" t="s">
        <v>146</v>
      </c>
      <c r="I56" s="71"/>
      <c r="J56" s="71"/>
      <c r="K56" s="71"/>
      <c r="L56" s="71"/>
      <c r="M56" s="71"/>
      <c r="N56" s="71"/>
      <c r="O56" s="71"/>
      <c r="P56" s="71"/>
    </row>
    <row r="57" spans="1:16" x14ac:dyDescent="0.15">
      <c r="A57" s="4"/>
      <c r="B57" s="4" t="s">
        <v>176</v>
      </c>
      <c r="C57" s="4">
        <v>-35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15">
      <c r="A58" s="4"/>
      <c r="B58" s="4" t="s">
        <v>177</v>
      </c>
      <c r="C58" s="4">
        <v>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15">
      <c r="A59" s="4"/>
      <c r="B59" s="4" t="s">
        <v>178</v>
      </c>
      <c r="C59" s="4">
        <v>-6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s="2" customFormat="1" ht="16" x14ac:dyDescent="0.2">
      <c r="A60" s="71"/>
      <c r="B60" s="74" t="s">
        <v>179</v>
      </c>
      <c r="C60" s="72">
        <f>SUM(C57:C59)</f>
        <v>-41</v>
      </c>
      <c r="D60" s="71"/>
      <c r="E60" s="71"/>
      <c r="F60" s="71"/>
      <c r="G60" s="21" t="s">
        <v>146</v>
      </c>
      <c r="H60" s="73" t="s">
        <v>146</v>
      </c>
      <c r="I60" s="71"/>
      <c r="J60" s="71"/>
      <c r="K60" s="71"/>
      <c r="L60" s="71"/>
      <c r="M60" s="71"/>
      <c r="N60" s="71"/>
      <c r="O60" s="71"/>
      <c r="P60" s="71"/>
    </row>
    <row r="61" spans="1:16" s="2" customFormat="1" ht="16" x14ac:dyDescent="0.2">
      <c r="A61" s="71"/>
      <c r="B61" s="74" t="s">
        <v>180</v>
      </c>
      <c r="C61" s="72">
        <f>SUM(C60+ C56+ C53)</f>
        <v>14</v>
      </c>
      <c r="D61" s="71"/>
      <c r="E61" s="71"/>
      <c r="F61" s="71"/>
      <c r="G61" s="21" t="s">
        <v>146</v>
      </c>
      <c r="H61" s="73" t="s">
        <v>146</v>
      </c>
      <c r="I61" s="71"/>
      <c r="J61" s="71"/>
      <c r="K61" s="71"/>
      <c r="L61" s="71"/>
      <c r="M61" s="71"/>
      <c r="N61" s="71"/>
      <c r="O61" s="71"/>
      <c r="P61" s="71"/>
    </row>
    <row r="62" spans="1:16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15">
      <c r="A63" s="30" t="s">
        <v>181</v>
      </c>
      <c r="B63" s="28" t="s">
        <v>182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15">
      <c r="A64" s="4"/>
      <c r="B64" s="28" t="s">
        <v>161</v>
      </c>
      <c r="C64" s="29" t="s">
        <v>21</v>
      </c>
      <c r="D64" s="29" t="s">
        <v>22</v>
      </c>
      <c r="E64" s="29" t="s">
        <v>13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6" x14ac:dyDescent="0.2">
      <c r="A65" s="4"/>
      <c r="B65" s="4" t="s">
        <v>162</v>
      </c>
      <c r="C65" s="4">
        <v>1400</v>
      </c>
      <c r="D65" s="11">
        <v>1414</v>
      </c>
      <c r="E65" s="54">
        <f>SUM(C65:D65)</f>
        <v>2814</v>
      </c>
      <c r="F65" s="4"/>
      <c r="G65" s="21" t="s">
        <v>146</v>
      </c>
      <c r="H65" s="7" t="s">
        <v>146</v>
      </c>
      <c r="I65" s="4"/>
      <c r="J65" s="4"/>
      <c r="K65" s="4"/>
      <c r="L65" s="4"/>
      <c r="M65" s="4"/>
      <c r="N65" s="4"/>
      <c r="O65" s="4"/>
      <c r="P65" s="4"/>
    </row>
    <row r="66" spans="1:16" ht="16" x14ac:dyDescent="0.2">
      <c r="A66" s="4"/>
      <c r="B66" s="4" t="s">
        <v>163</v>
      </c>
      <c r="C66" s="4">
        <v>6550</v>
      </c>
      <c r="D66" s="11">
        <v>6615.5</v>
      </c>
      <c r="E66" s="54">
        <f t="shared" ref="E66:E71" si="0">SUM(C66:D66)</f>
        <v>13165.5</v>
      </c>
      <c r="F66" s="4"/>
      <c r="G66" s="21" t="s">
        <v>146</v>
      </c>
      <c r="H66" s="7" t="s">
        <v>146</v>
      </c>
      <c r="I66" s="4"/>
      <c r="J66" s="4"/>
      <c r="K66" s="4"/>
      <c r="L66" s="4"/>
      <c r="M66" s="4"/>
      <c r="N66" s="4"/>
      <c r="O66" s="4"/>
      <c r="P66" s="4"/>
    </row>
    <row r="67" spans="1:16" ht="16" x14ac:dyDescent="0.2">
      <c r="A67" s="4"/>
      <c r="B67" s="4" t="s">
        <v>164</v>
      </c>
      <c r="C67" s="4">
        <v>9440</v>
      </c>
      <c r="D67" s="11">
        <v>9536</v>
      </c>
      <c r="E67" s="54">
        <f t="shared" si="0"/>
        <v>18976</v>
      </c>
      <c r="F67" s="4"/>
      <c r="G67" s="21" t="s">
        <v>146</v>
      </c>
      <c r="H67" s="7" t="s">
        <v>146</v>
      </c>
      <c r="I67" s="4"/>
      <c r="J67" s="4"/>
      <c r="K67" s="4"/>
      <c r="L67" s="4"/>
      <c r="M67" s="4"/>
      <c r="N67" s="4"/>
      <c r="O67" s="4"/>
      <c r="P67" s="4"/>
    </row>
    <row r="68" spans="1:16" ht="16" x14ac:dyDescent="0.2">
      <c r="A68" s="4"/>
      <c r="B68" s="4" t="s">
        <v>165</v>
      </c>
      <c r="C68" s="4">
        <v>450</v>
      </c>
      <c r="D68" s="11">
        <v>449</v>
      </c>
      <c r="E68" s="54">
        <f t="shared" si="0"/>
        <v>899</v>
      </c>
      <c r="F68" s="4"/>
      <c r="G68" s="21" t="s">
        <v>146</v>
      </c>
      <c r="H68" s="7" t="s">
        <v>146</v>
      </c>
      <c r="I68" s="4"/>
      <c r="J68" s="4"/>
      <c r="K68" s="4"/>
      <c r="L68" s="4"/>
      <c r="M68" s="4"/>
      <c r="N68" s="4"/>
      <c r="O68" s="4"/>
      <c r="P68" s="4"/>
    </row>
    <row r="69" spans="1:16" ht="16" x14ac:dyDescent="0.2">
      <c r="A69" s="4"/>
      <c r="B69" s="4" t="s">
        <v>166</v>
      </c>
      <c r="C69" s="4">
        <v>112</v>
      </c>
      <c r="D69" s="11">
        <v>124</v>
      </c>
      <c r="E69" s="54">
        <f t="shared" si="0"/>
        <v>236</v>
      </c>
      <c r="F69" s="4"/>
      <c r="G69" s="21" t="s">
        <v>146</v>
      </c>
      <c r="H69" s="7" t="s">
        <v>146</v>
      </c>
      <c r="I69" s="4"/>
      <c r="J69" s="4"/>
      <c r="K69" s="4"/>
      <c r="L69" s="4"/>
      <c r="M69" s="4"/>
      <c r="N69" s="4"/>
      <c r="O69" s="4"/>
      <c r="P69" s="4"/>
    </row>
    <row r="70" spans="1:16" ht="16" x14ac:dyDescent="0.2">
      <c r="A70" s="4"/>
      <c r="B70" s="4" t="s">
        <v>12</v>
      </c>
      <c r="C70" s="4">
        <v>58</v>
      </c>
      <c r="D70" s="11">
        <v>55</v>
      </c>
      <c r="E70" s="54">
        <f t="shared" si="0"/>
        <v>113</v>
      </c>
      <c r="F70" s="4"/>
      <c r="G70" s="21" t="s">
        <v>146</v>
      </c>
      <c r="H70" s="7" t="s">
        <v>146</v>
      </c>
      <c r="I70" s="4"/>
      <c r="J70" s="4"/>
      <c r="K70" s="4"/>
      <c r="L70" s="4"/>
      <c r="M70" s="4"/>
      <c r="N70" s="4"/>
      <c r="O70" s="4"/>
      <c r="P70" s="4"/>
    </row>
    <row r="71" spans="1:16" ht="16" x14ac:dyDescent="0.2">
      <c r="A71" s="4"/>
      <c r="B71" s="4" t="s">
        <v>13</v>
      </c>
      <c r="C71" s="53">
        <f>SUM(C65:C70)</f>
        <v>18010</v>
      </c>
      <c r="D71" s="53">
        <f>SUM(D65:D70)</f>
        <v>18193.5</v>
      </c>
      <c r="E71" s="75">
        <f t="shared" si="0"/>
        <v>36203.5</v>
      </c>
      <c r="F71" s="4"/>
      <c r="G71" s="21" t="s">
        <v>146</v>
      </c>
      <c r="H71" s="7" t="s">
        <v>146</v>
      </c>
      <c r="I71" s="4"/>
      <c r="J71" s="4"/>
      <c r="K71" s="4"/>
      <c r="L71" s="4"/>
      <c r="M71" s="4"/>
      <c r="N71" s="4"/>
      <c r="O71" s="4"/>
      <c r="P71" s="4"/>
    </row>
    <row r="72" spans="1:16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15">
      <c r="A74" s="30" t="s">
        <v>183</v>
      </c>
      <c r="B74" s="28" t="s">
        <v>184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15">
      <c r="A75" s="4"/>
      <c r="B75" s="28" t="s">
        <v>185</v>
      </c>
      <c r="C75" s="29" t="s">
        <v>104</v>
      </c>
      <c r="D75" s="29" t="s">
        <v>105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15">
      <c r="A76" s="4"/>
      <c r="B76" s="4" t="s">
        <v>186</v>
      </c>
      <c r="C76" s="4">
        <v>14</v>
      </c>
      <c r="D76" s="11">
        <v>16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15">
      <c r="A77" s="4"/>
      <c r="B77" s="4" t="s">
        <v>187</v>
      </c>
      <c r="C77" s="4">
        <v>23</v>
      </c>
      <c r="D77" s="11">
        <v>22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6" x14ac:dyDescent="0.2">
      <c r="A78" s="4"/>
      <c r="B78" s="8" t="s">
        <v>188</v>
      </c>
      <c r="C78" s="4">
        <v>37</v>
      </c>
      <c r="D78" s="53"/>
      <c r="F78" s="4"/>
      <c r="G78" s="21" t="s">
        <v>146</v>
      </c>
      <c r="H78" s="7" t="s">
        <v>146</v>
      </c>
      <c r="I78" s="4"/>
      <c r="J78" s="4"/>
      <c r="K78" s="4"/>
      <c r="L78" s="4"/>
      <c r="M78" s="4"/>
      <c r="N78" s="4"/>
      <c r="O78" s="4"/>
      <c r="P78" s="4"/>
    </row>
    <row r="79" spans="1:16" x14ac:dyDescent="0.15">
      <c r="A79" s="4"/>
      <c r="B79" s="4" t="s">
        <v>189</v>
      </c>
      <c r="C79" s="4">
        <v>-13</v>
      </c>
      <c r="D79" s="11">
        <v>-14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15">
      <c r="A80" s="4"/>
      <c r="B80" s="4" t="s">
        <v>190</v>
      </c>
      <c r="C80" s="4">
        <v>-4</v>
      </c>
      <c r="D80" s="4">
        <v>-6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6" x14ac:dyDescent="0.2">
      <c r="A81" s="4"/>
      <c r="B81" s="8" t="s">
        <v>191</v>
      </c>
      <c r="C81" s="4">
        <v>-17</v>
      </c>
      <c r="D81" s="53"/>
      <c r="E81" s="4"/>
      <c r="F81" s="4"/>
      <c r="G81" s="21" t="s">
        <v>146</v>
      </c>
      <c r="H81" s="7" t="s">
        <v>146</v>
      </c>
      <c r="I81" s="4"/>
      <c r="J81" s="4"/>
      <c r="K81" s="4"/>
      <c r="L81" s="4"/>
      <c r="M81" s="4"/>
      <c r="N81" s="4"/>
      <c r="O81" s="4"/>
      <c r="P81" s="4"/>
    </row>
    <row r="82" spans="1:16" ht="16" x14ac:dyDescent="0.2">
      <c r="A82" s="4"/>
      <c r="B82" s="8" t="s">
        <v>185</v>
      </c>
      <c r="C82" s="4">
        <v>20</v>
      </c>
      <c r="D82" s="53"/>
      <c r="E82" s="4"/>
      <c r="F82" s="4"/>
      <c r="G82" s="21" t="s">
        <v>146</v>
      </c>
      <c r="H82" s="7" t="s">
        <v>146</v>
      </c>
      <c r="I82" s="4"/>
      <c r="J82" s="4"/>
      <c r="K82" s="4"/>
      <c r="L82" s="4"/>
      <c r="M82" s="4"/>
      <c r="N82" s="4"/>
      <c r="O82" s="4"/>
      <c r="P82" s="4"/>
    </row>
    <row r="83" spans="1:16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15">
      <c r="A84" s="58" t="s">
        <v>292</v>
      </c>
      <c r="B84" s="58" t="s">
        <v>293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</sheetData>
  <pageMargins left="0.74803149606299213" right="0.74803149606299213" top="0.98425196850393704" bottom="0.98425196850393704" header="0.51181102362204722" footer="0.51181102362204722"/>
  <pageSetup paperSize="9" scale="65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42"/>
  <sheetViews>
    <sheetView showGridLines="0" zoomScaleNormal="100" zoomScalePageLayoutView="75" workbookViewId="0">
      <pane ySplit="2" topLeftCell="A3" activePane="bottomLeft" state="frozen"/>
      <selection sqref="A1:XFD2"/>
      <selection pane="bottomLeft"/>
    </sheetView>
  </sheetViews>
  <sheetFormatPr baseColWidth="10" defaultColWidth="9" defaultRowHeight="13" x14ac:dyDescent="0.15"/>
  <cols>
    <col min="1" max="1" width="1.5" style="11" customWidth="1"/>
    <col min="2" max="2" width="36.5" style="11" customWidth="1"/>
    <col min="3" max="7" width="11.5" style="11" customWidth="1"/>
    <col min="8" max="8" width="1.5" style="11" customWidth="1"/>
    <col min="9" max="9" width="11.5" style="17" customWidth="1"/>
    <col min="10" max="14" width="11.5" style="11" customWidth="1"/>
    <col min="15" max="17" width="9" style="11"/>
    <col min="18" max="18" width="10.33203125" style="11" customWidth="1"/>
    <col min="19" max="16384" width="9" style="11"/>
  </cols>
  <sheetData>
    <row r="1" spans="1:14" s="16" customFormat="1" ht="18" x14ac:dyDescent="0.2">
      <c r="A1" s="37" t="s">
        <v>134</v>
      </c>
      <c r="B1" s="38"/>
      <c r="C1" s="38"/>
      <c r="D1" s="39"/>
      <c r="E1" s="39"/>
      <c r="F1" s="39"/>
      <c r="G1" s="39"/>
      <c r="H1" s="39"/>
      <c r="I1" s="40"/>
      <c r="J1" s="39"/>
      <c r="K1" s="39"/>
      <c r="L1" s="39"/>
      <c r="M1" s="39"/>
      <c r="N1" s="39"/>
    </row>
    <row r="2" spans="1:14" s="16" customFormat="1" ht="19" thickBot="1" x14ac:dyDescent="0.25">
      <c r="A2" s="41" t="s">
        <v>211</v>
      </c>
      <c r="B2" s="42"/>
      <c r="C2" s="43" t="s">
        <v>104</v>
      </c>
      <c r="D2" s="43" t="s">
        <v>105</v>
      </c>
      <c r="E2" s="43" t="s">
        <v>106</v>
      </c>
      <c r="F2" s="43" t="s">
        <v>107</v>
      </c>
      <c r="G2" s="43" t="s">
        <v>108</v>
      </c>
      <c r="H2" s="43"/>
      <c r="I2" s="44"/>
      <c r="J2" s="43"/>
      <c r="K2" s="43"/>
      <c r="L2" s="43"/>
      <c r="M2" s="43"/>
      <c r="N2" s="43"/>
    </row>
    <row r="3" spans="1:14" ht="14" thickTop="1" x14ac:dyDescent="0.15"/>
    <row r="5" spans="1:14" ht="16" x14ac:dyDescent="0.15">
      <c r="A5" s="50" t="s">
        <v>193</v>
      </c>
      <c r="B5" s="49"/>
      <c r="C5" s="51"/>
      <c r="D5" s="51"/>
      <c r="E5" s="51"/>
      <c r="F5" s="51"/>
      <c r="G5" s="51"/>
      <c r="I5" s="31" t="s">
        <v>192</v>
      </c>
    </row>
    <row r="6" spans="1:14" ht="16" x14ac:dyDescent="0.2">
      <c r="A6" s="1"/>
      <c r="I6" s="12"/>
    </row>
    <row r="7" spans="1:14" x14ac:dyDescent="0.15">
      <c r="A7" s="27" t="s">
        <v>314</v>
      </c>
      <c r="B7" s="2"/>
      <c r="C7" s="9"/>
      <c r="D7" s="9"/>
      <c r="E7" s="9"/>
      <c r="F7" s="9"/>
      <c r="G7" s="9"/>
    </row>
    <row r="8" spans="1:14" x14ac:dyDescent="0.15">
      <c r="B8" s="11" t="s">
        <v>115</v>
      </c>
      <c r="C8" s="4">
        <v>500</v>
      </c>
      <c r="D8" s="4">
        <v>545</v>
      </c>
      <c r="E8" s="4">
        <v>600</v>
      </c>
      <c r="F8" s="4">
        <v>650</v>
      </c>
      <c r="G8" s="4">
        <v>720</v>
      </c>
    </row>
    <row r="9" spans="1:14" x14ac:dyDescent="0.15">
      <c r="B9" s="11" t="s">
        <v>249</v>
      </c>
      <c r="C9" s="4">
        <v>300</v>
      </c>
      <c r="D9" s="4">
        <v>327</v>
      </c>
      <c r="E9" s="4">
        <v>360</v>
      </c>
      <c r="F9" s="4">
        <v>390</v>
      </c>
      <c r="G9" s="4">
        <v>430</v>
      </c>
    </row>
    <row r="10" spans="1:14" x14ac:dyDescent="0.15">
      <c r="B10" s="11" t="s">
        <v>194</v>
      </c>
      <c r="C10" s="55"/>
      <c r="D10" s="55"/>
      <c r="E10" s="55"/>
      <c r="F10" s="55"/>
      <c r="G10" s="55"/>
      <c r="I10" s="17" t="s">
        <v>295</v>
      </c>
    </row>
    <row r="12" spans="1:14" x14ac:dyDescent="0.15">
      <c r="A12" s="27" t="s">
        <v>315</v>
      </c>
      <c r="B12" s="2"/>
      <c r="G12" s="10"/>
      <c r="H12" s="10"/>
    </row>
    <row r="13" spans="1:14" x14ac:dyDescent="0.15">
      <c r="B13" s="11" t="s">
        <v>195</v>
      </c>
      <c r="C13" s="4">
        <v>70</v>
      </c>
      <c r="D13" s="4">
        <v>70</v>
      </c>
      <c r="E13" s="4">
        <v>75</v>
      </c>
      <c r="F13" s="4">
        <v>78</v>
      </c>
      <c r="G13" s="4">
        <v>85</v>
      </c>
    </row>
    <row r="14" spans="1:14" x14ac:dyDescent="0.15">
      <c r="B14" s="11" t="s">
        <v>196</v>
      </c>
      <c r="C14" s="4">
        <v>25</v>
      </c>
      <c r="D14" s="4">
        <v>25</v>
      </c>
      <c r="E14" s="4">
        <v>25</v>
      </c>
      <c r="F14" s="4">
        <v>28</v>
      </c>
      <c r="G14" s="4">
        <v>30</v>
      </c>
      <c r="H14" s="10"/>
    </row>
    <row r="15" spans="1:14" x14ac:dyDescent="0.15">
      <c r="B15" s="11" t="s">
        <v>159</v>
      </c>
      <c r="C15" s="4">
        <v>5</v>
      </c>
      <c r="D15" s="4">
        <v>5</v>
      </c>
      <c r="E15" s="4">
        <v>4</v>
      </c>
      <c r="F15" s="4">
        <v>4</v>
      </c>
      <c r="G15" s="4">
        <v>6</v>
      </c>
    </row>
    <row r="16" spans="1:14" x14ac:dyDescent="0.15">
      <c r="B16" s="11" t="s">
        <v>158</v>
      </c>
      <c r="C16" s="4">
        <v>2</v>
      </c>
      <c r="D16" s="4">
        <v>3</v>
      </c>
      <c r="E16" s="4">
        <v>3</v>
      </c>
      <c r="F16" s="4">
        <v>3</v>
      </c>
      <c r="G16" s="4">
        <v>5</v>
      </c>
      <c r="H16" s="10"/>
    </row>
    <row r="17" spans="1:9" x14ac:dyDescent="0.15">
      <c r="B17" s="11" t="s">
        <v>197</v>
      </c>
      <c r="C17" s="55"/>
      <c r="D17" s="55"/>
      <c r="E17" s="55"/>
      <c r="F17" s="55"/>
      <c r="G17" s="55"/>
      <c r="I17" s="17" t="s">
        <v>198</v>
      </c>
    </row>
    <row r="18" spans="1:9" x14ac:dyDescent="0.15">
      <c r="A18" s="27"/>
      <c r="H18" s="10"/>
    </row>
    <row r="19" spans="1:9" x14ac:dyDescent="0.15">
      <c r="A19" s="27" t="s">
        <v>316</v>
      </c>
      <c r="B19" s="2"/>
      <c r="G19" s="10"/>
      <c r="H19" s="10"/>
    </row>
    <row r="20" spans="1:9" x14ac:dyDescent="0.15">
      <c r="B20" s="11" t="s">
        <v>199</v>
      </c>
      <c r="C20" s="55"/>
      <c r="D20" s="55"/>
      <c r="E20" s="55"/>
      <c r="F20" s="55"/>
      <c r="G20" s="55"/>
      <c r="I20" s="17" t="s">
        <v>306</v>
      </c>
    </row>
    <row r="22" spans="1:9" x14ac:dyDescent="0.15">
      <c r="A22" s="27" t="s">
        <v>317</v>
      </c>
      <c r="B22" s="2"/>
      <c r="G22" s="10"/>
      <c r="H22" s="10"/>
    </row>
    <row r="23" spans="1:9" x14ac:dyDescent="0.15">
      <c r="B23" s="11" t="s">
        <v>200</v>
      </c>
      <c r="C23" s="4">
        <v>29</v>
      </c>
      <c r="D23" s="4">
        <v>35</v>
      </c>
      <c r="E23" s="4">
        <v>39</v>
      </c>
      <c r="F23" s="4">
        <v>44</v>
      </c>
      <c r="G23" s="4">
        <v>50</v>
      </c>
      <c r="H23" s="10"/>
    </row>
    <row r="24" spans="1:9" x14ac:dyDescent="0.15">
      <c r="B24" s="11" t="s">
        <v>201</v>
      </c>
      <c r="C24" s="55"/>
      <c r="D24" s="55"/>
      <c r="E24" s="55"/>
      <c r="F24" s="55"/>
      <c r="G24" s="55"/>
      <c r="I24" s="17" t="s">
        <v>296</v>
      </c>
    </row>
    <row r="25" spans="1:9" x14ac:dyDescent="0.15">
      <c r="G25" s="10"/>
      <c r="H25" s="10"/>
    </row>
    <row r="26" spans="1:9" x14ac:dyDescent="0.15">
      <c r="H26" s="10"/>
    </row>
    <row r="27" spans="1:9" ht="16" x14ac:dyDescent="0.15">
      <c r="A27" s="50" t="s">
        <v>202</v>
      </c>
      <c r="B27" s="49"/>
      <c r="C27" s="51"/>
      <c r="D27" s="51"/>
      <c r="E27" s="51"/>
      <c r="F27" s="51"/>
      <c r="G27" s="51"/>
    </row>
    <row r="29" spans="1:9" x14ac:dyDescent="0.15">
      <c r="A29" s="27" t="s">
        <v>318</v>
      </c>
      <c r="B29" s="2"/>
      <c r="H29" s="10"/>
    </row>
    <row r="30" spans="1:9" x14ac:dyDescent="0.15">
      <c r="B30" s="11" t="s">
        <v>118</v>
      </c>
      <c r="C30" s="4">
        <v>28.5</v>
      </c>
      <c r="D30" s="4">
        <v>30</v>
      </c>
      <c r="E30" s="4">
        <v>32</v>
      </c>
      <c r="F30" s="4">
        <v>34</v>
      </c>
      <c r="G30" s="4">
        <v>35</v>
      </c>
      <c r="H30" s="10"/>
    </row>
    <row r="31" spans="1:9" x14ac:dyDescent="0.15">
      <c r="B31" s="11" t="s">
        <v>171</v>
      </c>
      <c r="C31" s="4">
        <v>4.8</v>
      </c>
      <c r="D31" s="4">
        <v>5</v>
      </c>
      <c r="E31" s="4">
        <v>5</v>
      </c>
      <c r="F31" s="4">
        <v>6</v>
      </c>
      <c r="G31" s="4">
        <v>6</v>
      </c>
      <c r="H31" s="10"/>
    </row>
    <row r="32" spans="1:9" x14ac:dyDescent="0.15">
      <c r="B32" s="11" t="s">
        <v>203</v>
      </c>
      <c r="C32" s="4">
        <v>-4.9000000000000004</v>
      </c>
      <c r="D32" s="4">
        <v>-6</v>
      </c>
      <c r="E32" s="4">
        <v>-6.4</v>
      </c>
      <c r="F32" s="4">
        <v>-5.8</v>
      </c>
      <c r="G32" s="4">
        <v>-5.3</v>
      </c>
      <c r="H32" s="10"/>
    </row>
    <row r="33" spans="1:9" x14ac:dyDescent="0.15">
      <c r="B33" s="11" t="s">
        <v>204</v>
      </c>
      <c r="C33" s="55"/>
      <c r="D33" s="55"/>
      <c r="E33" s="55"/>
      <c r="F33" s="55"/>
      <c r="G33" s="55"/>
      <c r="I33" s="17" t="s">
        <v>205</v>
      </c>
    </row>
    <row r="34" spans="1:9" x14ac:dyDescent="0.15">
      <c r="G34" s="10"/>
      <c r="H34" s="10"/>
    </row>
    <row r="35" spans="1:9" x14ac:dyDescent="0.15">
      <c r="A35" s="27" t="s">
        <v>319</v>
      </c>
      <c r="B35" s="2"/>
      <c r="H35" s="10"/>
    </row>
    <row r="36" spans="1:9" x14ac:dyDescent="0.15">
      <c r="B36" s="11" t="s">
        <v>206</v>
      </c>
      <c r="C36" s="4">
        <v>65</v>
      </c>
      <c r="D36" s="4">
        <v>67.599999999999994</v>
      </c>
      <c r="E36" s="4">
        <v>70.5</v>
      </c>
      <c r="F36" s="4">
        <v>74.099999999999994</v>
      </c>
      <c r="G36" s="4">
        <v>78.2</v>
      </c>
      <c r="H36" s="10"/>
    </row>
    <row r="37" spans="1:9" x14ac:dyDescent="0.15">
      <c r="B37" s="11" t="s">
        <v>207</v>
      </c>
      <c r="C37" s="4">
        <v>5</v>
      </c>
      <c r="D37" s="4">
        <v>4</v>
      </c>
      <c r="E37" s="4">
        <v>4</v>
      </c>
      <c r="F37" s="4">
        <v>3.4</v>
      </c>
      <c r="G37" s="4">
        <v>3</v>
      </c>
      <c r="H37" s="10"/>
    </row>
    <row r="38" spans="1:9" x14ac:dyDescent="0.15">
      <c r="B38" s="11" t="s">
        <v>208</v>
      </c>
      <c r="C38" s="4">
        <v>-14</v>
      </c>
      <c r="D38" s="4">
        <v>-15</v>
      </c>
      <c r="E38" s="4">
        <v>-17</v>
      </c>
      <c r="F38" s="4">
        <v>-19</v>
      </c>
      <c r="G38" s="4">
        <v>-20</v>
      </c>
      <c r="H38" s="10"/>
    </row>
    <row r="39" spans="1:9" x14ac:dyDescent="0.15">
      <c r="B39" s="11" t="s">
        <v>209</v>
      </c>
      <c r="C39" s="4">
        <v>4</v>
      </c>
      <c r="D39" s="4">
        <v>-3</v>
      </c>
      <c r="E39" s="4">
        <v>-1</v>
      </c>
      <c r="F39" s="4">
        <v>1</v>
      </c>
      <c r="G39" s="4">
        <v>2.5</v>
      </c>
      <c r="H39" s="10"/>
    </row>
    <row r="40" spans="1:9" x14ac:dyDescent="0.15">
      <c r="B40" s="11" t="s">
        <v>210</v>
      </c>
      <c r="C40" s="55"/>
      <c r="D40" s="55"/>
      <c r="E40" s="55"/>
      <c r="F40" s="55"/>
      <c r="G40" s="55"/>
      <c r="I40" s="17" t="s">
        <v>205</v>
      </c>
    </row>
    <row r="42" spans="1:9" x14ac:dyDescent="0.15">
      <c r="A42" s="58" t="s">
        <v>292</v>
      </c>
      <c r="B42" s="58" t="s">
        <v>293</v>
      </c>
      <c r="G42" s="10"/>
      <c r="H42" s="10"/>
    </row>
  </sheetData>
  <pageMargins left="0.74803149606299213" right="0.74803149606299213" top="0.98425196850393704" bottom="0.98425196850393704" header="0.51181102362204722" footer="0.51181102362204722"/>
  <pageSetup paperSize="9" scale="65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showGridLines="0" zoomScaleNormal="100" zoomScalePageLayoutView="75" workbookViewId="0">
      <pane ySplit="2" topLeftCell="A3" activePane="bottomLeft" state="frozen"/>
      <selection sqref="A1:XFD2"/>
      <selection pane="bottomLeft"/>
    </sheetView>
  </sheetViews>
  <sheetFormatPr baseColWidth="10" defaultColWidth="9" defaultRowHeight="13" x14ac:dyDescent="0.15"/>
  <cols>
    <col min="1" max="1" width="1.5" style="11" customWidth="1"/>
    <col min="2" max="2" width="36.5" style="11" customWidth="1"/>
    <col min="3" max="6" width="11.5" style="11" customWidth="1"/>
    <col min="7" max="7" width="1.5" style="11" customWidth="1"/>
    <col min="8" max="8" width="11.5" style="17" customWidth="1"/>
    <col min="9" max="13" width="11.5" style="11" customWidth="1"/>
    <col min="14" max="16" width="9" style="11"/>
    <col min="17" max="17" width="10.33203125" style="11" customWidth="1"/>
    <col min="18" max="16384" width="9" style="11"/>
  </cols>
  <sheetData>
    <row r="1" spans="1:13" s="16" customFormat="1" ht="18" x14ac:dyDescent="0.2">
      <c r="A1" s="37" t="s">
        <v>134</v>
      </c>
      <c r="B1" s="38"/>
      <c r="C1" s="38"/>
      <c r="D1" s="39"/>
      <c r="E1" s="39"/>
      <c r="F1" s="39"/>
      <c r="G1" s="39"/>
      <c r="H1" s="40"/>
      <c r="I1" s="39"/>
      <c r="J1" s="39"/>
      <c r="K1" s="39"/>
      <c r="L1" s="39"/>
      <c r="M1" s="39"/>
    </row>
    <row r="2" spans="1:13" s="16" customFormat="1" ht="19" thickBot="1" x14ac:dyDescent="0.25">
      <c r="A2" s="41" t="s">
        <v>212</v>
      </c>
      <c r="B2" s="42"/>
      <c r="C2" s="42"/>
      <c r="D2" s="43"/>
      <c r="E2" s="43"/>
      <c r="F2" s="43"/>
      <c r="G2" s="43"/>
      <c r="H2" s="44"/>
      <c r="I2" s="43"/>
      <c r="J2" s="43"/>
      <c r="K2" s="43"/>
      <c r="L2" s="43"/>
      <c r="M2" s="43"/>
    </row>
    <row r="3" spans="1:13" ht="14" thickTop="1" x14ac:dyDescent="0.15"/>
    <row r="11" spans="1:13" x14ac:dyDescent="0.15">
      <c r="G11" s="10"/>
    </row>
    <row r="13" spans="1:13" x14ac:dyDescent="0.15">
      <c r="C13" s="32" t="s">
        <v>213</v>
      </c>
      <c r="D13" s="32" t="s">
        <v>104</v>
      </c>
      <c r="E13" s="32" t="s">
        <v>105</v>
      </c>
      <c r="F13" s="32" t="s">
        <v>106</v>
      </c>
      <c r="G13" s="10"/>
      <c r="H13" s="31" t="s">
        <v>192</v>
      </c>
    </row>
    <row r="14" spans="1:13" x14ac:dyDescent="0.15">
      <c r="A14" s="27" t="s">
        <v>212</v>
      </c>
      <c r="H14" s="13"/>
    </row>
    <row r="15" spans="1:13" x14ac:dyDescent="0.15">
      <c r="B15" s="11" t="s">
        <v>214</v>
      </c>
      <c r="D15" s="33">
        <v>0.08</v>
      </c>
      <c r="E15" s="33">
        <v>0.08</v>
      </c>
      <c r="F15" s="33">
        <v>0.08</v>
      </c>
    </row>
    <row r="16" spans="1:13" x14ac:dyDescent="0.15">
      <c r="B16" s="11" t="s">
        <v>115</v>
      </c>
      <c r="C16" s="4">
        <v>100</v>
      </c>
      <c r="D16" s="55"/>
      <c r="E16" s="55"/>
      <c r="F16" s="55"/>
      <c r="G16" s="10"/>
      <c r="H16" s="17" t="s">
        <v>215</v>
      </c>
    </row>
    <row r="17" spans="2:9" x14ac:dyDescent="0.15">
      <c r="H17" s="13"/>
    </row>
    <row r="18" spans="2:9" x14ac:dyDescent="0.15">
      <c r="B18" s="11" t="s">
        <v>178</v>
      </c>
      <c r="C18" s="4">
        <v>25</v>
      </c>
      <c r="D18" s="55"/>
      <c r="E18" s="55"/>
      <c r="F18" s="55"/>
      <c r="H18" s="17" t="s">
        <v>215</v>
      </c>
    </row>
    <row r="19" spans="2:9" x14ac:dyDescent="0.15">
      <c r="B19" s="11" t="s">
        <v>216</v>
      </c>
      <c r="D19" s="33">
        <v>0.1</v>
      </c>
      <c r="E19" s="33">
        <v>0.1</v>
      </c>
      <c r="F19" s="33">
        <v>0.1</v>
      </c>
      <c r="G19" s="10"/>
    </row>
    <row r="20" spans="2:9" x14ac:dyDescent="0.15">
      <c r="G20" s="10"/>
    </row>
    <row r="21" spans="2:9" x14ac:dyDescent="0.15">
      <c r="B21" s="11" t="s">
        <v>217</v>
      </c>
      <c r="D21" s="34">
        <v>2</v>
      </c>
      <c r="E21" s="34">
        <v>2.4</v>
      </c>
      <c r="F21" s="34">
        <v>2.7</v>
      </c>
      <c r="H21" s="13"/>
    </row>
    <row r="22" spans="2:9" x14ac:dyDescent="0.15">
      <c r="B22" s="11" t="s">
        <v>218</v>
      </c>
      <c r="C22" s="4">
        <v>15</v>
      </c>
      <c r="D22" s="55"/>
      <c r="E22" s="55"/>
      <c r="F22" s="55"/>
      <c r="G22" s="10"/>
      <c r="H22" s="17" t="s">
        <v>219</v>
      </c>
    </row>
    <row r="24" spans="2:9" x14ac:dyDescent="0.15">
      <c r="B24" s="11" t="s">
        <v>220</v>
      </c>
      <c r="D24" s="33">
        <v>0.05</v>
      </c>
      <c r="E24" s="33">
        <v>0.05</v>
      </c>
      <c r="F24" s="33">
        <v>0.05</v>
      </c>
    </row>
    <row r="25" spans="2:9" x14ac:dyDescent="0.15">
      <c r="B25" s="11" t="s">
        <v>221</v>
      </c>
      <c r="C25" s="4">
        <v>40</v>
      </c>
      <c r="D25" s="55"/>
      <c r="E25" s="55"/>
      <c r="F25" s="55"/>
      <c r="H25" s="17" t="s">
        <v>222</v>
      </c>
    </row>
    <row r="27" spans="2:9" ht="16" x14ac:dyDescent="0.2">
      <c r="B27" s="11" t="s">
        <v>223</v>
      </c>
      <c r="D27" s="34">
        <v>5</v>
      </c>
      <c r="E27" s="34">
        <v>6</v>
      </c>
      <c r="F27" s="34">
        <v>9</v>
      </c>
      <c r="G27" s="10"/>
      <c r="I27" s="18"/>
    </row>
    <row r="28" spans="2:9" ht="16" x14ac:dyDescent="0.2">
      <c r="B28" s="11" t="s">
        <v>224</v>
      </c>
      <c r="C28" s="4">
        <v>300</v>
      </c>
      <c r="D28" s="55"/>
      <c r="E28" s="55"/>
      <c r="F28" s="55"/>
      <c r="H28" s="17" t="s">
        <v>219</v>
      </c>
      <c r="I28" s="18"/>
    </row>
    <row r="29" spans="2:9" ht="16" x14ac:dyDescent="0.2">
      <c r="I29" s="18"/>
    </row>
    <row r="30" spans="2:9" ht="29" x14ac:dyDescent="0.2">
      <c r="C30" s="2"/>
      <c r="D30" s="35" t="s">
        <v>225</v>
      </c>
      <c r="E30" s="35" t="s">
        <v>226</v>
      </c>
      <c r="F30" s="35" t="s">
        <v>227</v>
      </c>
      <c r="G30" s="10"/>
      <c r="I30" s="18"/>
    </row>
    <row r="31" spans="2:9" ht="16" x14ac:dyDescent="0.2">
      <c r="B31" s="11" t="s">
        <v>162</v>
      </c>
      <c r="C31" s="2"/>
      <c r="D31" s="4">
        <v>400</v>
      </c>
      <c r="E31" s="33">
        <v>0.02</v>
      </c>
      <c r="F31" s="56"/>
      <c r="H31" s="17" t="s">
        <v>228</v>
      </c>
      <c r="I31" s="18"/>
    </row>
    <row r="32" spans="2:9" ht="16" x14ac:dyDescent="0.2">
      <c r="B32" s="11" t="s">
        <v>229</v>
      </c>
      <c r="C32" s="2"/>
      <c r="D32" s="4">
        <v>144</v>
      </c>
      <c r="E32" s="33">
        <v>-0.01</v>
      </c>
      <c r="F32" s="56"/>
      <c r="H32" s="17" t="s">
        <v>230</v>
      </c>
      <c r="I32" s="18"/>
    </row>
    <row r="33" spans="1:9" ht="16" x14ac:dyDescent="0.2">
      <c r="B33" s="11" t="s">
        <v>165</v>
      </c>
      <c r="C33" s="2"/>
      <c r="D33" s="4">
        <v>99</v>
      </c>
      <c r="E33" s="33">
        <v>-0.02</v>
      </c>
      <c r="F33" s="56"/>
      <c r="H33" s="17" t="s">
        <v>230</v>
      </c>
      <c r="I33" s="18"/>
    </row>
    <row r="34" spans="1:9" ht="16" x14ac:dyDescent="0.2">
      <c r="B34" s="11" t="s">
        <v>166</v>
      </c>
      <c r="C34" s="2"/>
      <c r="D34" s="4">
        <v>46</v>
      </c>
      <c r="E34" s="33">
        <v>0.03</v>
      </c>
      <c r="F34" s="56"/>
      <c r="H34" s="17" t="s">
        <v>230</v>
      </c>
      <c r="I34" s="18"/>
    </row>
    <row r="35" spans="1:9" ht="16" x14ac:dyDescent="0.2">
      <c r="G35" s="10"/>
      <c r="I35" s="18"/>
    </row>
    <row r="36" spans="1:9" ht="16" x14ac:dyDescent="0.2">
      <c r="A36" s="58" t="s">
        <v>292</v>
      </c>
      <c r="B36" s="58" t="s">
        <v>293</v>
      </c>
      <c r="I36" s="18"/>
    </row>
  </sheetData>
  <pageMargins left="0.74803149606299213" right="0.74803149606299213" top="0.98425196850393704" bottom="0.98425196850393704" header="0.51181102362204722" footer="0.51181102362204722"/>
  <pageSetup paperSize="9" scale="65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33"/>
  <sheetViews>
    <sheetView showGridLines="0" zoomScaleNormal="100" zoomScalePageLayoutView="75" workbookViewId="0">
      <pane ySplit="2" topLeftCell="A3" activePane="bottomLeft" state="frozen"/>
      <selection sqref="A1:XFD2"/>
      <selection pane="bottomLeft"/>
    </sheetView>
  </sheetViews>
  <sheetFormatPr baseColWidth="10" defaultColWidth="9" defaultRowHeight="13" x14ac:dyDescent="0.15"/>
  <cols>
    <col min="1" max="1" width="1.5" style="11" customWidth="1"/>
    <col min="2" max="2" width="36.5" style="11" customWidth="1"/>
    <col min="3" max="6" width="11.5" style="11" customWidth="1"/>
    <col min="7" max="7" width="1.5" style="11" customWidth="1"/>
    <col min="8" max="8" width="11.5" style="17" customWidth="1"/>
    <col min="9" max="14" width="11.5" style="11" customWidth="1"/>
    <col min="15" max="17" width="9" style="11"/>
    <col min="18" max="18" width="10.33203125" style="11" customWidth="1"/>
    <col min="19" max="16384" width="9" style="11"/>
  </cols>
  <sheetData>
    <row r="1" spans="1:14" s="16" customFormat="1" ht="18" x14ac:dyDescent="0.2">
      <c r="A1" s="37" t="s">
        <v>134</v>
      </c>
      <c r="B1" s="38"/>
      <c r="C1" s="38"/>
      <c r="D1" s="39"/>
      <c r="E1" s="39"/>
      <c r="F1" s="39"/>
      <c r="G1" s="39"/>
      <c r="H1" s="40"/>
      <c r="I1" s="39"/>
      <c r="J1" s="39"/>
      <c r="K1" s="39"/>
      <c r="L1" s="39"/>
      <c r="M1" s="39"/>
      <c r="N1" s="39"/>
    </row>
    <row r="2" spans="1:14" s="16" customFormat="1" ht="19" thickBot="1" x14ac:dyDescent="0.25">
      <c r="A2" s="41" t="s">
        <v>232</v>
      </c>
      <c r="B2" s="42"/>
      <c r="C2" s="42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</row>
    <row r="3" spans="1:14" ht="14" thickTop="1" x14ac:dyDescent="0.15"/>
    <row r="5" spans="1:14" x14ac:dyDescent="0.15">
      <c r="H5" s="12"/>
    </row>
    <row r="6" spans="1:14" x14ac:dyDescent="0.15">
      <c r="H6" s="12"/>
    </row>
    <row r="7" spans="1:14" x14ac:dyDescent="0.15">
      <c r="H7" s="12"/>
    </row>
    <row r="8" spans="1:14" x14ac:dyDescent="0.15">
      <c r="H8" s="12"/>
    </row>
    <row r="9" spans="1:14" x14ac:dyDescent="0.15">
      <c r="H9" s="12"/>
    </row>
    <row r="10" spans="1:14" x14ac:dyDescent="0.15">
      <c r="H10" s="12"/>
    </row>
    <row r="11" spans="1:14" x14ac:dyDescent="0.15">
      <c r="H11" s="12"/>
    </row>
    <row r="12" spans="1:14" x14ac:dyDescent="0.15">
      <c r="C12" s="27" t="s">
        <v>213</v>
      </c>
      <c r="D12" s="27" t="s">
        <v>104</v>
      </c>
      <c r="E12" s="27" t="s">
        <v>105</v>
      </c>
      <c r="F12" s="27" t="s">
        <v>106</v>
      </c>
      <c r="H12" s="31" t="s">
        <v>192</v>
      </c>
    </row>
    <row r="13" spans="1:14" x14ac:dyDescent="0.15">
      <c r="A13" s="27" t="s">
        <v>232</v>
      </c>
      <c r="B13" s="2"/>
    </row>
    <row r="14" spans="1:14" x14ac:dyDescent="0.15">
      <c r="B14" s="11" t="s">
        <v>115</v>
      </c>
      <c r="C14" s="4">
        <v>190</v>
      </c>
      <c r="D14" s="4">
        <v>200</v>
      </c>
      <c r="E14" s="4">
        <v>211</v>
      </c>
      <c r="F14" s="4">
        <v>224.7</v>
      </c>
    </row>
    <row r="15" spans="1:14" x14ac:dyDescent="0.15">
      <c r="B15" s="11" t="s">
        <v>233</v>
      </c>
      <c r="C15" s="4">
        <v>123.5</v>
      </c>
      <c r="D15" s="55"/>
      <c r="E15" s="55"/>
      <c r="F15" s="55"/>
      <c r="G15" s="10" t="s">
        <v>146</v>
      </c>
      <c r="H15" s="17" t="s">
        <v>234</v>
      </c>
    </row>
    <row r="16" spans="1:14" x14ac:dyDescent="0.15">
      <c r="B16" s="11" t="s">
        <v>235</v>
      </c>
      <c r="D16" s="33">
        <v>0.65</v>
      </c>
      <c r="E16" s="33">
        <v>0.65</v>
      </c>
      <c r="F16" s="33">
        <v>0.65</v>
      </c>
    </row>
    <row r="18" spans="2:9" ht="16" x14ac:dyDescent="0.2">
      <c r="B18" s="11" t="s">
        <v>236</v>
      </c>
      <c r="C18" s="4">
        <v>12</v>
      </c>
      <c r="D18" s="4">
        <v>15</v>
      </c>
      <c r="E18" s="4">
        <v>18</v>
      </c>
      <c r="F18" s="4">
        <v>21</v>
      </c>
      <c r="I18" s="19"/>
    </row>
    <row r="19" spans="2:9" x14ac:dyDescent="0.15">
      <c r="B19" s="11" t="s">
        <v>200</v>
      </c>
      <c r="C19" s="4">
        <v>3.6</v>
      </c>
      <c r="D19" s="55"/>
      <c r="E19" s="55"/>
      <c r="F19" s="55"/>
      <c r="G19" s="10" t="s">
        <v>146</v>
      </c>
      <c r="H19" s="17" t="s">
        <v>303</v>
      </c>
    </row>
    <row r="20" spans="2:9" x14ac:dyDescent="0.15">
      <c r="B20" s="11" t="s">
        <v>237</v>
      </c>
      <c r="D20" s="33">
        <v>0.3</v>
      </c>
      <c r="E20" s="33">
        <v>0.3</v>
      </c>
      <c r="F20" s="33">
        <v>0.3</v>
      </c>
    </row>
    <row r="21" spans="2:9" ht="16" x14ac:dyDescent="0.2">
      <c r="I21" s="19"/>
    </row>
    <row r="22" spans="2:9" x14ac:dyDescent="0.15">
      <c r="B22" s="11" t="s">
        <v>238</v>
      </c>
      <c r="D22" s="33">
        <v>0.2</v>
      </c>
      <c r="E22" s="33">
        <v>0.2</v>
      </c>
      <c r="F22" s="33">
        <v>0.2</v>
      </c>
    </row>
    <row r="23" spans="2:9" x14ac:dyDescent="0.15">
      <c r="B23" s="11" t="s">
        <v>171</v>
      </c>
      <c r="D23" s="55"/>
      <c r="E23" s="55"/>
      <c r="F23" s="55"/>
      <c r="G23" s="10" t="s">
        <v>146</v>
      </c>
      <c r="H23" s="17" t="s">
        <v>239</v>
      </c>
    </row>
    <row r="24" spans="2:9" x14ac:dyDescent="0.15">
      <c r="B24" s="11" t="s">
        <v>240</v>
      </c>
      <c r="C24" s="4">
        <v>120</v>
      </c>
      <c r="D24" s="4">
        <v>130</v>
      </c>
      <c r="E24" s="4">
        <v>140</v>
      </c>
      <c r="F24" s="4">
        <v>150</v>
      </c>
    </row>
    <row r="25" spans="2:9" ht="16" x14ac:dyDescent="0.2">
      <c r="I25" s="19"/>
    </row>
    <row r="26" spans="2:9" x14ac:dyDescent="0.15">
      <c r="B26" s="11" t="s">
        <v>241</v>
      </c>
      <c r="D26" s="33">
        <v>0.08</v>
      </c>
      <c r="E26" s="33">
        <v>8.5000000000000006E-2</v>
      </c>
      <c r="F26" s="33">
        <v>0.09</v>
      </c>
      <c r="G26" s="10"/>
    </row>
    <row r="27" spans="2:9" x14ac:dyDescent="0.15">
      <c r="B27" s="11" t="s">
        <v>242</v>
      </c>
      <c r="C27" s="4">
        <v>14.9</v>
      </c>
      <c r="D27" s="55"/>
      <c r="E27" s="55"/>
      <c r="F27" s="55"/>
      <c r="G27" s="10" t="s">
        <v>146</v>
      </c>
      <c r="H27" s="17" t="s">
        <v>304</v>
      </c>
    </row>
    <row r="29" spans="2:9" x14ac:dyDescent="0.15">
      <c r="B29" s="11" t="s">
        <v>243</v>
      </c>
      <c r="C29" s="2"/>
      <c r="D29" s="4">
        <v>840</v>
      </c>
      <c r="E29" s="4">
        <v>875</v>
      </c>
      <c r="F29" s="4">
        <v>910</v>
      </c>
      <c r="G29" s="10"/>
    </row>
    <row r="30" spans="2:9" x14ac:dyDescent="0.15">
      <c r="B30" s="11" t="s">
        <v>244</v>
      </c>
      <c r="C30" s="2"/>
      <c r="D30" s="55"/>
      <c r="E30" s="55"/>
      <c r="F30" s="55"/>
      <c r="G30" s="10" t="s">
        <v>146</v>
      </c>
      <c r="H30" s="17" t="s">
        <v>305</v>
      </c>
    </row>
    <row r="31" spans="2:9" x14ac:dyDescent="0.15">
      <c r="B31" s="11" t="s">
        <v>245</v>
      </c>
      <c r="C31" s="2"/>
      <c r="D31" s="33">
        <v>0.39</v>
      </c>
      <c r="E31" s="33">
        <v>0.4</v>
      </c>
      <c r="F31" s="33">
        <v>0.41</v>
      </c>
    </row>
    <row r="32" spans="2:9" x14ac:dyDescent="0.15">
      <c r="G32" s="10"/>
    </row>
    <row r="33" spans="1:2" x14ac:dyDescent="0.15">
      <c r="A33" s="58" t="s">
        <v>292</v>
      </c>
      <c r="B33" s="58" t="s">
        <v>293</v>
      </c>
    </row>
  </sheetData>
  <pageMargins left="0.74803149606299213" right="0.74803149606299213" top="0.98425196850393704" bottom="0.98425196850393704" header="0.51181102362204722" footer="0.51181102362204722"/>
  <pageSetup paperSize="9" scale="65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26"/>
  <sheetViews>
    <sheetView showGridLines="0" zoomScaleNormal="100" zoomScalePageLayoutView="75" workbookViewId="0">
      <pane ySplit="2" topLeftCell="A3" activePane="bottomLeft" state="frozen"/>
      <selection sqref="A1:XFD2"/>
      <selection pane="bottomLeft"/>
    </sheetView>
  </sheetViews>
  <sheetFormatPr baseColWidth="10" defaultColWidth="9" defaultRowHeight="13" x14ac:dyDescent="0.15"/>
  <cols>
    <col min="1" max="1" width="1.5" style="11" customWidth="1"/>
    <col min="2" max="2" width="36.5" style="11" customWidth="1"/>
    <col min="3" max="5" width="11.5" style="11" customWidth="1"/>
    <col min="6" max="6" width="1.5" style="11" customWidth="1"/>
    <col min="7" max="7" width="11.5" style="17" customWidth="1"/>
    <col min="8" max="14" width="11.5" style="11" customWidth="1"/>
    <col min="15" max="17" width="9" style="11"/>
    <col min="18" max="18" width="10.33203125" style="11" customWidth="1"/>
    <col min="19" max="16384" width="9" style="11"/>
  </cols>
  <sheetData>
    <row r="1" spans="1:14" s="16" customFormat="1" ht="18" x14ac:dyDescent="0.2">
      <c r="A1" s="37" t="s">
        <v>134</v>
      </c>
      <c r="B1" s="38"/>
      <c r="C1" s="38"/>
      <c r="D1" s="39"/>
      <c r="E1" s="39"/>
      <c r="F1" s="39"/>
      <c r="G1" s="40"/>
      <c r="H1" s="39"/>
      <c r="I1" s="39"/>
      <c r="J1" s="39"/>
      <c r="K1" s="39"/>
      <c r="L1" s="39"/>
      <c r="M1" s="39"/>
      <c r="N1" s="39"/>
    </row>
    <row r="2" spans="1:14" s="16" customFormat="1" ht="19" thickBot="1" x14ac:dyDescent="0.25">
      <c r="A2" s="41" t="s">
        <v>246</v>
      </c>
      <c r="B2" s="42"/>
      <c r="C2" s="42"/>
      <c r="D2" s="43"/>
      <c r="E2" s="43"/>
      <c r="F2" s="43"/>
      <c r="G2" s="44"/>
      <c r="H2" s="43"/>
      <c r="I2" s="43"/>
      <c r="J2" s="43"/>
      <c r="K2" s="43"/>
      <c r="L2" s="43"/>
      <c r="M2" s="43"/>
      <c r="N2" s="43"/>
    </row>
    <row r="3" spans="1:14" ht="14" thickTop="1" x14ac:dyDescent="0.15"/>
    <row r="4" spans="1:14" ht="16" x14ac:dyDescent="0.15">
      <c r="A4" s="50" t="s">
        <v>247</v>
      </c>
      <c r="B4" s="49"/>
      <c r="C4" s="51"/>
      <c r="D4" s="51"/>
      <c r="E4" s="51"/>
      <c r="F4" s="51"/>
      <c r="G4" s="59"/>
    </row>
    <row r="5" spans="1:14" x14ac:dyDescent="0.15">
      <c r="C5" s="9"/>
      <c r="D5" s="9"/>
      <c r="E5" s="9"/>
      <c r="F5" s="9"/>
    </row>
    <row r="6" spans="1:14" x14ac:dyDescent="0.15">
      <c r="C6" s="32" t="s">
        <v>104</v>
      </c>
      <c r="D6" s="32" t="s">
        <v>105</v>
      </c>
      <c r="E6" s="32" t="s">
        <v>106</v>
      </c>
      <c r="G6" s="31" t="s">
        <v>192</v>
      </c>
    </row>
    <row r="7" spans="1:14" x14ac:dyDescent="0.15">
      <c r="A7" s="27" t="s">
        <v>248</v>
      </c>
    </row>
    <row r="8" spans="1:14" x14ac:dyDescent="0.15">
      <c r="B8" s="11" t="s">
        <v>115</v>
      </c>
      <c r="C8" s="4">
        <v>4000</v>
      </c>
      <c r="D8" s="4">
        <v>4200</v>
      </c>
      <c r="E8" s="4">
        <v>4500</v>
      </c>
    </row>
    <row r="9" spans="1:14" x14ac:dyDescent="0.15">
      <c r="B9" s="11" t="s">
        <v>249</v>
      </c>
      <c r="C9" s="4">
        <v>2800</v>
      </c>
      <c r="D9" s="4">
        <v>3024</v>
      </c>
      <c r="E9" s="4">
        <v>3150</v>
      </c>
    </row>
    <row r="10" spans="1:14" x14ac:dyDescent="0.15">
      <c r="B10" s="11" t="s">
        <v>235</v>
      </c>
      <c r="C10" s="57"/>
      <c r="D10" s="57"/>
      <c r="E10" s="57"/>
      <c r="F10" s="15"/>
      <c r="G10" s="17" t="s">
        <v>307</v>
      </c>
    </row>
    <row r="12" spans="1:14" x14ac:dyDescent="0.15">
      <c r="B12" s="11" t="s">
        <v>118</v>
      </c>
      <c r="C12" s="4">
        <v>2000</v>
      </c>
      <c r="D12" s="4">
        <v>2400</v>
      </c>
      <c r="E12" s="4">
        <v>2700</v>
      </c>
      <c r="G12" s="13"/>
    </row>
    <row r="13" spans="1:14" x14ac:dyDescent="0.15">
      <c r="B13" s="11" t="s">
        <v>178</v>
      </c>
      <c r="C13" s="4">
        <v>400</v>
      </c>
      <c r="D13" s="4">
        <v>450</v>
      </c>
      <c r="E13" s="4">
        <v>570</v>
      </c>
    </row>
    <row r="14" spans="1:14" x14ac:dyDescent="0.15">
      <c r="B14" s="11" t="s">
        <v>250</v>
      </c>
      <c r="C14" s="57"/>
      <c r="D14" s="57"/>
      <c r="E14" s="57"/>
      <c r="F14" s="15"/>
    </row>
    <row r="15" spans="1:14" x14ac:dyDescent="0.15">
      <c r="I15" s="10"/>
    </row>
    <row r="16" spans="1:14" x14ac:dyDescent="0.15">
      <c r="B16" s="11" t="s">
        <v>187</v>
      </c>
      <c r="C16" s="4">
        <f>C9*0.15</f>
        <v>420</v>
      </c>
      <c r="D16" s="4">
        <v>450</v>
      </c>
      <c r="E16" s="4">
        <v>475</v>
      </c>
      <c r="G16" s="13"/>
    </row>
    <row r="17" spans="1:9" x14ac:dyDescent="0.15">
      <c r="B17" s="11" t="s">
        <v>251</v>
      </c>
      <c r="C17" s="57"/>
      <c r="D17" s="57"/>
      <c r="E17" s="57"/>
      <c r="F17" s="15"/>
      <c r="G17" s="17" t="s">
        <v>252</v>
      </c>
    </row>
    <row r="18" spans="1:9" x14ac:dyDescent="0.15">
      <c r="I18" s="10"/>
    </row>
    <row r="19" spans="1:9" x14ac:dyDescent="0.15">
      <c r="A19" s="27" t="s">
        <v>253</v>
      </c>
    </row>
    <row r="20" spans="1:9" x14ac:dyDescent="0.15">
      <c r="B20" s="11" t="s">
        <v>115</v>
      </c>
      <c r="C20" s="4">
        <v>600</v>
      </c>
      <c r="D20" s="4">
        <v>625</v>
      </c>
      <c r="E20" s="4">
        <v>670</v>
      </c>
      <c r="G20" s="13"/>
    </row>
    <row r="21" spans="1:9" x14ac:dyDescent="0.15">
      <c r="B21" s="11" t="s">
        <v>214</v>
      </c>
      <c r="D21" s="57"/>
      <c r="E21" s="57"/>
      <c r="F21" s="15"/>
      <c r="G21" s="60" t="s">
        <v>308</v>
      </c>
    </row>
    <row r="22" spans="1:9" x14ac:dyDescent="0.15">
      <c r="I22" s="10"/>
    </row>
    <row r="23" spans="1:9" x14ac:dyDescent="0.15">
      <c r="B23" s="11" t="s">
        <v>254</v>
      </c>
      <c r="C23" s="20"/>
      <c r="D23" s="57"/>
      <c r="E23" s="57"/>
      <c r="F23" s="15"/>
      <c r="G23" s="60" t="s">
        <v>308</v>
      </c>
    </row>
    <row r="24" spans="1:9" x14ac:dyDescent="0.15">
      <c r="B24" s="11" t="s">
        <v>178</v>
      </c>
      <c r="C24" s="4">
        <v>125</v>
      </c>
      <c r="D24" s="4">
        <v>145</v>
      </c>
      <c r="E24" s="4">
        <v>170</v>
      </c>
      <c r="G24" s="13"/>
    </row>
    <row r="26" spans="1:9" x14ac:dyDescent="0.15">
      <c r="A26" s="58" t="s">
        <v>292</v>
      </c>
      <c r="B26" s="58" t="s">
        <v>293</v>
      </c>
    </row>
  </sheetData>
  <pageMargins left="0.74803149606299213" right="0.74803149606299213" top="0.98425196850393704" bottom="0.98425196850393704" header="0.51181102362204722" footer="0.51181102362204722"/>
  <pageSetup paperSize="9" scale="65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O16"/>
  <sheetViews>
    <sheetView showGridLines="0" zoomScaleNormal="100" zoomScalePageLayoutView="75" workbookViewId="0">
      <pane ySplit="2" topLeftCell="A3" activePane="bottomLeft" state="frozen"/>
      <selection sqref="A1:XFD2"/>
      <selection pane="bottomLeft"/>
    </sheetView>
  </sheetViews>
  <sheetFormatPr baseColWidth="10" defaultColWidth="9" defaultRowHeight="13" x14ac:dyDescent="0.15"/>
  <cols>
    <col min="1" max="1" width="1.5" style="11" customWidth="1"/>
    <col min="2" max="2" width="36.5" style="11" customWidth="1"/>
    <col min="3" max="6" width="11.5" style="11" customWidth="1"/>
    <col min="7" max="7" width="1.5" style="11" customWidth="1"/>
    <col min="8" max="15" width="11.5" style="11" customWidth="1"/>
    <col min="16" max="18" width="9" style="11"/>
    <col min="19" max="19" width="10.33203125" style="11" customWidth="1"/>
    <col min="20" max="16384" width="9" style="11"/>
  </cols>
  <sheetData>
    <row r="1" spans="1:15" s="16" customFormat="1" ht="18" x14ac:dyDescent="0.2">
      <c r="A1" s="37" t="s">
        <v>134</v>
      </c>
      <c r="B1" s="38"/>
      <c r="C1" s="38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s="16" customFormat="1" ht="19" thickBot="1" x14ac:dyDescent="0.25">
      <c r="A2" s="41" t="s">
        <v>255</v>
      </c>
      <c r="B2" s="42"/>
      <c r="C2" s="42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4" thickTop="1" x14ac:dyDescent="0.15"/>
    <row r="4" spans="1:15" ht="16" x14ac:dyDescent="0.15">
      <c r="A4" s="50" t="s">
        <v>255</v>
      </c>
      <c r="B4" s="49"/>
      <c r="C4" s="51"/>
      <c r="D4" s="51"/>
      <c r="E4" s="51"/>
      <c r="F4" s="51"/>
    </row>
    <row r="5" spans="1:15" x14ac:dyDescent="0.15">
      <c r="C5" s="9"/>
      <c r="D5" s="9"/>
      <c r="E5" s="9"/>
      <c r="F5" s="9"/>
    </row>
    <row r="6" spans="1:15" x14ac:dyDescent="0.15">
      <c r="C6" s="32" t="s">
        <v>256</v>
      </c>
      <c r="D6" s="32" t="s">
        <v>104</v>
      </c>
      <c r="E6" s="32" t="s">
        <v>105</v>
      </c>
      <c r="F6" s="32" t="s">
        <v>106</v>
      </c>
      <c r="G6" s="27"/>
      <c r="H6" s="27" t="s">
        <v>192</v>
      </c>
    </row>
    <row r="7" spans="1:15" x14ac:dyDescent="0.15">
      <c r="A7" s="14"/>
    </row>
    <row r="8" spans="1:15" x14ac:dyDescent="0.15">
      <c r="A8" s="14"/>
      <c r="B8" s="11" t="s">
        <v>257</v>
      </c>
      <c r="C8" s="36">
        <v>0.3</v>
      </c>
    </row>
    <row r="9" spans="1:15" x14ac:dyDescent="0.15">
      <c r="A9" s="14"/>
    </row>
    <row r="10" spans="1:15" x14ac:dyDescent="0.15">
      <c r="B10" s="11" t="s">
        <v>115</v>
      </c>
      <c r="D10" s="4">
        <v>4000</v>
      </c>
      <c r="E10" s="4">
        <v>4200</v>
      </c>
      <c r="F10" s="4">
        <v>4500</v>
      </c>
    </row>
    <row r="11" spans="1:15" x14ac:dyDescent="0.15">
      <c r="B11" s="11" t="s">
        <v>258</v>
      </c>
      <c r="D11" s="4">
        <v>2800</v>
      </c>
      <c r="E11" s="4">
        <v>3024</v>
      </c>
      <c r="F11" s="4">
        <v>3150</v>
      </c>
    </row>
    <row r="12" spans="1:15" x14ac:dyDescent="0.15">
      <c r="B12" s="11" t="s">
        <v>259</v>
      </c>
      <c r="D12" s="53"/>
      <c r="E12" s="53"/>
      <c r="F12" s="53"/>
      <c r="G12" s="10"/>
    </row>
    <row r="13" spans="1:15" x14ac:dyDescent="0.15">
      <c r="B13" s="11" t="s">
        <v>260</v>
      </c>
      <c r="D13" s="53"/>
      <c r="E13" s="53"/>
      <c r="F13" s="53"/>
      <c r="G13" s="10"/>
      <c r="H13" s="11" t="s">
        <v>261</v>
      </c>
    </row>
    <row r="14" spans="1:15" x14ac:dyDescent="0.15">
      <c r="B14" s="11" t="s">
        <v>262</v>
      </c>
      <c r="D14" s="53"/>
      <c r="E14" s="53"/>
      <c r="F14" s="53"/>
      <c r="G14" s="10"/>
    </row>
    <row r="16" spans="1:15" x14ac:dyDescent="0.15">
      <c r="A16" s="58" t="s">
        <v>292</v>
      </c>
      <c r="B16" s="58" t="s">
        <v>293</v>
      </c>
    </row>
  </sheetData>
  <pageMargins left="0.74803149606299213" right="0.74803149606299213" top="0.98425196850393704" bottom="0.98425196850393704" header="0.51181102362204722" footer="0.51181102362204722"/>
  <pageSetup paperSize="9" scale="65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40"/>
  <sheetViews>
    <sheetView showGridLines="0" tabSelected="1" zoomScaleNormal="100" zoomScalePageLayoutView="75" workbookViewId="0">
      <pane ySplit="2" topLeftCell="A3" activePane="bottomLeft" state="frozen"/>
      <selection sqref="A1:XFD2"/>
      <selection pane="bottomLeft"/>
    </sheetView>
  </sheetViews>
  <sheetFormatPr baseColWidth="10" defaultColWidth="9" defaultRowHeight="13" x14ac:dyDescent="0.15"/>
  <cols>
    <col min="1" max="1" width="1.5" style="11" customWidth="1"/>
    <col min="2" max="2" width="36.5" style="11" customWidth="1"/>
    <col min="3" max="5" width="11.5" style="11" customWidth="1"/>
    <col min="6" max="6" width="1.5" style="11" customWidth="1"/>
    <col min="7" max="7" width="11.5" style="17" customWidth="1"/>
    <col min="8" max="14" width="11.5" style="11" customWidth="1"/>
    <col min="15" max="17" width="9" style="11"/>
    <col min="18" max="18" width="10.33203125" style="11" customWidth="1"/>
    <col min="19" max="16384" width="9" style="11"/>
  </cols>
  <sheetData>
    <row r="1" spans="1:14" s="16" customFormat="1" ht="18" x14ac:dyDescent="0.2">
      <c r="A1" s="37" t="s">
        <v>134</v>
      </c>
      <c r="B1" s="38"/>
      <c r="C1" s="38"/>
      <c r="D1" s="39"/>
      <c r="E1" s="39"/>
      <c r="F1" s="39"/>
      <c r="G1" s="40"/>
      <c r="H1" s="39"/>
      <c r="I1" s="39"/>
      <c r="J1" s="39"/>
      <c r="K1" s="39"/>
      <c r="L1" s="39"/>
      <c r="M1" s="39"/>
      <c r="N1" s="39"/>
    </row>
    <row r="2" spans="1:14" s="16" customFormat="1" ht="19" thickBot="1" x14ac:dyDescent="0.25">
      <c r="A2" s="41" t="s">
        <v>263</v>
      </c>
      <c r="B2" s="42"/>
      <c r="C2" s="42"/>
      <c r="D2" s="43"/>
      <c r="E2" s="43"/>
      <c r="F2" s="43"/>
      <c r="G2" s="44"/>
      <c r="H2" s="43"/>
      <c r="I2" s="43"/>
      <c r="J2" s="43"/>
      <c r="K2" s="43"/>
      <c r="L2" s="43"/>
      <c r="M2" s="43"/>
      <c r="N2" s="43"/>
    </row>
    <row r="3" spans="1:14" ht="14" thickTop="1" x14ac:dyDescent="0.15"/>
    <row r="4" spans="1:14" ht="16" x14ac:dyDescent="0.15">
      <c r="A4" s="50" t="s">
        <v>264</v>
      </c>
      <c r="B4" s="49"/>
      <c r="C4" s="51"/>
      <c r="D4" s="51"/>
      <c r="E4" s="51"/>
      <c r="F4" s="59"/>
      <c r="G4" s="59"/>
    </row>
    <row r="6" spans="1:14" x14ac:dyDescent="0.15">
      <c r="C6" s="32" t="s">
        <v>256</v>
      </c>
      <c r="D6" s="32" t="s">
        <v>104</v>
      </c>
      <c r="E6" s="32" t="s">
        <v>105</v>
      </c>
      <c r="F6" s="9"/>
      <c r="G6" s="27" t="s">
        <v>192</v>
      </c>
    </row>
    <row r="8" spans="1:14" x14ac:dyDescent="0.15">
      <c r="A8" s="27" t="s">
        <v>297</v>
      </c>
    </row>
    <row r="9" spans="1:14" x14ac:dyDescent="0.15">
      <c r="B9" s="11" t="s">
        <v>265</v>
      </c>
      <c r="C9" s="4">
        <v>80</v>
      </c>
      <c r="D9" s="53"/>
      <c r="E9" s="53"/>
    </row>
    <row r="10" spans="1:14" ht="16" x14ac:dyDescent="0.2">
      <c r="B10" s="11" t="s">
        <v>267</v>
      </c>
      <c r="D10" s="34">
        <v>20</v>
      </c>
      <c r="E10" s="34">
        <v>20</v>
      </c>
      <c r="G10" s="17" t="s">
        <v>266</v>
      </c>
      <c r="H10" s="18" t="s">
        <v>146</v>
      </c>
    </row>
    <row r="11" spans="1:14" x14ac:dyDescent="0.15">
      <c r="F11" s="15"/>
      <c r="G11" s="13"/>
    </row>
    <row r="12" spans="1:14" x14ac:dyDescent="0.15">
      <c r="A12" s="27" t="s">
        <v>298</v>
      </c>
      <c r="F12" s="15"/>
    </row>
    <row r="13" spans="1:14" x14ac:dyDescent="0.15">
      <c r="B13" s="11" t="s">
        <v>268</v>
      </c>
      <c r="D13" s="53"/>
      <c r="E13" s="53"/>
      <c r="F13" s="15"/>
      <c r="G13" s="17" t="s">
        <v>269</v>
      </c>
    </row>
    <row r="14" spans="1:14" x14ac:dyDescent="0.15">
      <c r="B14" s="11" t="s">
        <v>270</v>
      </c>
      <c r="D14" s="34">
        <v>0</v>
      </c>
      <c r="E14" s="34">
        <v>0</v>
      </c>
      <c r="F14" s="15"/>
    </row>
    <row r="15" spans="1:14" x14ac:dyDescent="0.15">
      <c r="B15" s="11" t="s">
        <v>271</v>
      </c>
      <c r="D15" s="34">
        <v>0</v>
      </c>
      <c r="E15" s="34">
        <v>100</v>
      </c>
      <c r="F15" s="15"/>
      <c r="G15" s="13"/>
    </row>
    <row r="16" spans="1:14" x14ac:dyDescent="0.15">
      <c r="B16" s="11" t="s">
        <v>272</v>
      </c>
      <c r="C16" s="4">
        <v>250</v>
      </c>
      <c r="D16" s="53"/>
      <c r="E16" s="53"/>
      <c r="F16" s="15"/>
    </row>
    <row r="17" spans="1:8" x14ac:dyDescent="0.15">
      <c r="F17" s="15"/>
    </row>
    <row r="18" spans="1:8" x14ac:dyDescent="0.15">
      <c r="A18" s="27" t="s">
        <v>299</v>
      </c>
      <c r="F18" s="15"/>
    </row>
    <row r="19" spans="1:8" x14ac:dyDescent="0.15">
      <c r="B19" s="11" t="s">
        <v>268</v>
      </c>
      <c r="D19" s="53"/>
      <c r="E19" s="53"/>
      <c r="F19" s="15"/>
      <c r="G19" s="13"/>
    </row>
    <row r="20" spans="1:8" ht="16" x14ac:dyDescent="0.2">
      <c r="B20" s="11" t="s">
        <v>270</v>
      </c>
      <c r="D20" s="34">
        <v>300</v>
      </c>
      <c r="E20" s="34">
        <v>0</v>
      </c>
      <c r="H20" s="18" t="s">
        <v>146</v>
      </c>
    </row>
    <row r="21" spans="1:8" x14ac:dyDescent="0.15">
      <c r="B21" s="11" t="s">
        <v>271</v>
      </c>
      <c r="D21" s="34">
        <v>0</v>
      </c>
      <c r="E21" s="34">
        <v>25</v>
      </c>
    </row>
    <row r="22" spans="1:8" x14ac:dyDescent="0.15">
      <c r="B22" s="11" t="s">
        <v>272</v>
      </c>
      <c r="C22" s="4">
        <v>0</v>
      </c>
      <c r="D22" s="53"/>
      <c r="E22" s="53"/>
      <c r="G22" s="13"/>
    </row>
    <row r="23" spans="1:8" x14ac:dyDescent="0.15">
      <c r="F23" s="15"/>
      <c r="G23" s="13"/>
    </row>
    <row r="24" spans="1:8" ht="16" x14ac:dyDescent="0.2">
      <c r="A24" s="27" t="s">
        <v>300</v>
      </c>
      <c r="H24" s="18" t="s">
        <v>146</v>
      </c>
    </row>
    <row r="25" spans="1:8" x14ac:dyDescent="0.15">
      <c r="B25" s="11" t="s">
        <v>273</v>
      </c>
      <c r="D25" s="53"/>
      <c r="E25" s="53"/>
    </row>
    <row r="26" spans="1:8" ht="16" x14ac:dyDescent="0.2">
      <c r="B26" s="11" t="s">
        <v>274</v>
      </c>
      <c r="D26" s="34">
        <v>0</v>
      </c>
      <c r="E26" s="34">
        <v>340</v>
      </c>
      <c r="F26" s="15"/>
      <c r="G26" s="13"/>
      <c r="H26" s="18" t="s">
        <v>146</v>
      </c>
    </row>
    <row r="27" spans="1:8" x14ac:dyDescent="0.15">
      <c r="B27" s="11" t="s">
        <v>275</v>
      </c>
      <c r="D27" s="34">
        <v>10</v>
      </c>
      <c r="E27" s="34">
        <v>30</v>
      </c>
      <c r="G27" s="17" t="s">
        <v>309</v>
      </c>
    </row>
    <row r="28" spans="1:8" x14ac:dyDescent="0.15">
      <c r="B28" s="11" t="s">
        <v>276</v>
      </c>
      <c r="C28" s="4">
        <v>170</v>
      </c>
      <c r="D28" s="53"/>
      <c r="E28" s="53"/>
      <c r="F28" s="15"/>
    </row>
    <row r="29" spans="1:8" x14ac:dyDescent="0.15">
      <c r="G29" s="13"/>
    </row>
    <row r="30" spans="1:8" x14ac:dyDescent="0.15">
      <c r="A30" s="27" t="s">
        <v>313</v>
      </c>
      <c r="G30" s="13"/>
    </row>
    <row r="31" spans="1:8" x14ac:dyDescent="0.15">
      <c r="B31" s="11" t="s">
        <v>277</v>
      </c>
      <c r="D31" s="53"/>
      <c r="E31" s="53"/>
    </row>
    <row r="32" spans="1:8" x14ac:dyDescent="0.15">
      <c r="B32" s="11" t="s">
        <v>312</v>
      </c>
      <c r="D32" s="34">
        <v>250</v>
      </c>
      <c r="E32" s="34">
        <v>265</v>
      </c>
      <c r="G32" s="17" t="s">
        <v>311</v>
      </c>
    </row>
    <row r="33" spans="1:9" x14ac:dyDescent="0.15">
      <c r="B33" s="11" t="s">
        <v>278</v>
      </c>
      <c r="D33" s="34">
        <v>180</v>
      </c>
      <c r="E33" s="34">
        <v>195</v>
      </c>
      <c r="G33" s="17" t="s">
        <v>310</v>
      </c>
    </row>
    <row r="34" spans="1:9" x14ac:dyDescent="0.15">
      <c r="B34" s="11" t="s">
        <v>279</v>
      </c>
      <c r="C34" s="4">
        <v>1275</v>
      </c>
      <c r="D34" s="53"/>
      <c r="E34" s="53"/>
    </row>
    <row r="36" spans="1:9" x14ac:dyDescent="0.15">
      <c r="A36" s="58" t="s">
        <v>292</v>
      </c>
      <c r="B36" s="58" t="s">
        <v>293</v>
      </c>
    </row>
    <row r="37" spans="1:9" x14ac:dyDescent="0.15">
      <c r="A37"/>
      <c r="B37"/>
      <c r="C37"/>
      <c r="D37"/>
      <c r="E37"/>
      <c r="F37"/>
      <c r="G37"/>
      <c r="H37"/>
      <c r="I37"/>
    </row>
    <row r="38" spans="1:9" x14ac:dyDescent="0.15">
      <c r="A38"/>
      <c r="B38"/>
      <c r="C38"/>
      <c r="D38"/>
      <c r="E38"/>
      <c r="F38"/>
      <c r="G38"/>
      <c r="H38"/>
      <c r="I38"/>
    </row>
    <row r="40" spans="1:9" x14ac:dyDescent="0.15">
      <c r="A40" s="58"/>
      <c r="B40" s="58"/>
    </row>
  </sheetData>
  <pageMargins left="0.74803149606299213" right="0.74803149606299213" top="0.98425196850393704" bottom="0.98425196850393704" header="0.51181102362204722" footer="0.51181102362204722"/>
  <pageSetup paperSize="9" scale="65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F34289E0CE54F847BAF7F0063AF16" ma:contentTypeVersion="14" ma:contentTypeDescription="Create a new document." ma:contentTypeScope="" ma:versionID="4522083d7420ed5f49afbaadca3be3e2">
  <xsd:schema xmlns:xsd="http://www.w3.org/2001/XMLSchema" xmlns:xs="http://www.w3.org/2001/XMLSchema" xmlns:p="http://schemas.microsoft.com/office/2006/metadata/properties" xmlns:ns2="600b22f1-31b6-4de8-8094-7a0e6f5a6045" xmlns:ns3="854ec562-19a4-44ab-a8a8-13ba8ec48b64" targetNamespace="http://schemas.microsoft.com/office/2006/metadata/properties" ma:root="true" ma:fieldsID="86df09f88535c17a99bc161023605dc4" ns2:_="" ns3:_="">
    <xsd:import namespace="600b22f1-31b6-4de8-8094-7a0e6f5a6045"/>
    <xsd:import namespace="854ec562-19a4-44ab-a8a8-13ba8ec48b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b22f1-31b6-4de8-8094-7a0e6f5a6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21671-1f22-43ed-9c7b-b36ca707cd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ec562-19a4-44ab-a8a8-13ba8ec48b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057ab6-c2c8-423b-82b7-487d3d7c29d2}" ma:internalName="TaxCatchAll" ma:showField="CatchAllData" ma:web="854ec562-19a4-44ab-a8a8-13ba8ec48b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4ec562-19a4-44ab-a8a8-13ba8ec48b64" xsi:nil="true"/>
    <lcf76f155ced4ddcb4097134ff3c332f xmlns="600b22f1-31b6-4de8-8094-7a0e6f5a60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AB57D2-2FE2-45D9-B052-699D5E6B28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F4148B-D3C4-4C93-BB8B-53D3C1EE68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0b22f1-31b6-4de8-8094-7a0e6f5a6045"/>
    <ds:schemaRef ds:uri="854ec562-19a4-44ab-a8a8-13ba8ec48b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2F5D8F-3CF9-427D-81C1-4AB2BEA76679}">
  <ds:schemaRefs>
    <ds:schemaRef ds:uri="http://schemas.microsoft.com/office/2006/documentManagement/types"/>
    <ds:schemaRef ds:uri="http://purl.org/dc/terms/"/>
    <ds:schemaRef ds:uri="a748e392-812d-4dd1-83d7-89907ecae7a5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e0d9df7-6a10-48f3-9ff9-2d8bdcb73a03"/>
    <ds:schemaRef ds:uri="http://www.w3.org/XML/1998/namespace"/>
    <ds:schemaRef ds:uri="http://purl.org/dc/dcmitype/"/>
    <ds:schemaRef ds:uri="http://purl.org/dc/elements/1.1/"/>
    <ds:schemaRef ds:uri="854ec562-19a4-44ab-a8a8-13ba8ec48b64"/>
    <ds:schemaRef ds:uri="600b22f1-31b6-4de8-8094-7a0e6f5a60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TTS</vt:lpstr>
      <vt:lpstr>Inputs</vt:lpstr>
      <vt:lpstr>Warmup</vt:lpstr>
      <vt:lpstr>Sum</vt:lpstr>
      <vt:lpstr>Subtotals</vt:lpstr>
      <vt:lpstr>Growth</vt:lpstr>
      <vt:lpstr>Relation</vt:lpstr>
      <vt:lpstr>Ratios</vt:lpstr>
      <vt:lpstr>Absolute</vt:lpstr>
      <vt:lpstr>Extras</vt:lpstr>
      <vt:lpstr>TTS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FM warmup std 2021.xlsx</dc:title>
  <dc:creator>Training The Street</dc:creator>
  <dc:description>AMTX-V1/2765</dc:description>
  <cp:lastModifiedBy>Landon Brice</cp:lastModifiedBy>
  <cp:lastPrinted>2017-12-06T12:46:42Z</cp:lastPrinted>
  <dcterms:created xsi:type="dcterms:W3CDTF">2008-02-13T09:24:48Z</dcterms:created>
  <dcterms:modified xsi:type="dcterms:W3CDTF">2026-01-14T22:48:15Z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0x0101003F3F34289E0CE54F847BAF7F0063AF16</vt:lpwstr>
  </property>
  <property fmtid="{D5CDD505-2E9C-101B-9397-08002B2CF9AE}" pid="3" name="Order">
    <vt:r8>3900</vt:r8>
  </property>
  <property fmtid="{D5CDD505-2E9C-101B-9397-08002B2CF9AE}" pid="4" name="MediaServiceImageTags">
    <vt:lpwstr/>
  </property>
</Properties>
</file>